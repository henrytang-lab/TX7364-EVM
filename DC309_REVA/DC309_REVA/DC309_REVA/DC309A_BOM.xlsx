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00_JOBS_2023\29_DC309 APL Final Spin\DESIGN\021424\DC309_REVA (2)\DC309_REVA\DC309_REVA-BRD\Project Outputs for DC309\BOM\"/>
    </mc:Choice>
  </mc:AlternateContent>
  <xr:revisionPtr revIDLastSave="0" documentId="8_{3B37CB00-7285-4603-AF58-DC1275310E64}" xr6:coauthVersionLast="36" xr6:coauthVersionMax="36" xr10:uidLastSave="{00000000-0000-0000-0000-000000000000}"/>
  <bookViews>
    <workbookView xWindow="32760" yWindow="132" windowWidth="15168" windowHeight="8760" xr2:uid="{00000000-000D-0000-FFFF-FFFF00000000}"/>
  </bookViews>
  <sheets>
    <sheet name="BOM Report" sheetId="1" r:id="rId1"/>
  </sheets>
  <definedNames>
    <definedName name="Disties">#REF!</definedName>
    <definedName name="Distributor">#REF!</definedName>
    <definedName name="Disty">#REF!</definedName>
    <definedName name="_xlnm.Print_Area" localSheetId="0">'BOM Report'!$B$1:$H$118</definedName>
    <definedName name="_xlnm.Print_Titles" localSheetId="0">'BOM Report'!$6:$6</definedName>
    <definedName name="Vendor">#REF!</definedName>
    <definedName name="Vendors">#REF!</definedName>
  </definedNames>
  <calcPr calcId="191029"/>
</workbook>
</file>

<file path=xl/calcChain.xml><?xml version="1.0" encoding="utf-8"?>
<calcChain xmlns="http://schemas.openxmlformats.org/spreadsheetml/2006/main">
  <c r="A117" i="1" l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F4" i="1" l="1"/>
  <c r="A8" i="1"/>
  <c r="A7" i="1"/>
  <c r="B1" i="1"/>
</calcChain>
</file>

<file path=xl/sharedStrings.xml><?xml version="1.0" encoding="utf-8"?>
<sst xmlns="http://schemas.openxmlformats.org/spreadsheetml/2006/main" count="607" uniqueCount="425">
  <si>
    <t>Filename:</t>
  </si>
  <si>
    <t>Generated:</t>
  </si>
  <si>
    <t>Variant:</t>
  </si>
  <si>
    <t>Item #</t>
  </si>
  <si>
    <t>TID #:</t>
  </si>
  <si>
    <t>DC309</t>
  </si>
  <si>
    <t>Compact</t>
  </si>
  <si>
    <t>A</t>
  </si>
  <si>
    <t>2/14/2024 12:07 PM</t>
  </si>
  <si>
    <t>N/A</t>
  </si>
  <si>
    <t>Designator</t>
  </si>
  <si>
    <t>!PCB1</t>
  </si>
  <si>
    <t>C1, C211, C212, C285, C286</t>
  </si>
  <si>
    <t>C2, C5, C6, C22, C71, C72, C73, C74, C75, C76, C77, C78, C79, C80, C81, C82, C83, C84, C86, C87, C88, C89, C90, C91, C92, C93, C94, C95, C96, C97, C98, C174, C175, C177, C178, C179, C180, C181, C182, C183, C184, C185, C186, C187, C188, C189, C190, C191, C193, C194, C195, C196, C197, C198, C199, C200, C201, C202, C203, C204, C205, C207, C213, C215</t>
  </si>
  <si>
    <t>C3, C7</t>
  </si>
  <si>
    <t>C4, C8</t>
  </si>
  <si>
    <t>C9, C20</t>
  </si>
  <si>
    <t>C10, C14, C16, C18, C21, C23, C31, C35, C36, C46, C50, C53, C99, C100, C103, C104, C105, C106, C107, C120, C126, C127, C128, C136, C138, C149, C150, C161, C167, C168, C171, C250, C279, C280, C283</t>
  </si>
  <si>
    <t>C11, C12, C13, C37, C170</t>
  </si>
  <si>
    <t>C15, C17, C19, C49, C172</t>
  </si>
  <si>
    <t>C24, C70, C85, C151, C153, C155, C157, C176, C192, C206, C208, C209, C210, C214, C216, C217, C218, C219, C220, C221, C222, C223, C224, C225, C226, C227, C228, C229, C230, C231, C232, C233, C234, C235, C236, C237, C238, C239, C240, C241, C242, C243, C244, C245, C246, C247, C248, C249, C251, C252, C253, C254, C255, C256, C257, C258, C259, C260, C261, C262, C263, C264, C265, C266</t>
  </si>
  <si>
    <t>C25</t>
  </si>
  <si>
    <t>C26, C27</t>
  </si>
  <si>
    <t>C28, C38, C39, C40, C41, C42, C43, C44, C57, C58, C59, C60, C61, C62, C66, C67</t>
  </si>
  <si>
    <t>C29, C166, C169, C277</t>
  </si>
  <si>
    <t>C30, C32, C33, C129</t>
  </si>
  <si>
    <t>C45, C47, C48, C51, C52, C54, C55, C56, C68, C69</t>
  </si>
  <si>
    <t>C140, C141</t>
  </si>
  <si>
    <t>C267</t>
  </si>
  <si>
    <t>C278</t>
  </si>
  <si>
    <t>C281</t>
  </si>
  <si>
    <t>C282</t>
  </si>
  <si>
    <t>D1, D4, D9, D10, D11, D12, D13, D17</t>
  </si>
  <si>
    <t>D3, D6</t>
  </si>
  <si>
    <t>D7, D8</t>
  </si>
  <si>
    <t>FB1</t>
  </si>
  <si>
    <t>FID1, FID2, FID3, FID4, FID5, FID6</t>
  </si>
  <si>
    <t>H1, H2, H3, H4</t>
  </si>
  <si>
    <t>H5, H6, H7, H8</t>
  </si>
  <si>
    <t>H9</t>
  </si>
  <si>
    <t>J1, J5, J6, J10</t>
  </si>
  <si>
    <t>J2, J3</t>
  </si>
  <si>
    <t>J4, J8, J12, J14</t>
  </si>
  <si>
    <t>J7, J13, J16</t>
  </si>
  <si>
    <t>J9</t>
  </si>
  <si>
    <t>R3, R6</t>
  </si>
  <si>
    <t>R7</t>
  </si>
  <si>
    <t>R8, R135, R250</t>
  </si>
  <si>
    <t>R9</t>
  </si>
  <si>
    <t>R10, R12, R136, R251</t>
  </si>
  <si>
    <t>R11</t>
  </si>
  <si>
    <t>R13, R110, R124, R130</t>
  </si>
  <si>
    <t>R14, R15</t>
  </si>
  <si>
    <t>R16, R30, R42, R78, R103, R125, R126, R127, R163, R165, R169, R233, R254, R263, R264, R265, R273, R274, R293, R295, R366, R368</t>
  </si>
  <si>
    <t>R17</t>
  </si>
  <si>
    <t>R18, R22</t>
  </si>
  <si>
    <t>R25, R26, R36, R118, R119, R149, R150, R174, R242, R243, R244, R245, R246, R249, R419, R421, R424, R426</t>
  </si>
  <si>
    <t>R43, R44, R45, R277, R278, R279</t>
  </si>
  <si>
    <t>R46, R47, R48, R49, R50, R51, R53, R54, R55, R56, R57, R58, R59, R60, R63, R64, R68, R69, R70, R71, R75, R76, R80, R81, R82, R83, R84, R85, R87, R90, R93, R94, R95, R96, R97, R98, R99, R101, R102, R106, R107, R117, R121, R159, R237, R238, R239, R255, R256, R257, R258, R259, R260, R261, R281, R282, R287, R288, R289, R291, R328, R343, R349, R359</t>
  </si>
  <si>
    <t>R72, R139, R565</t>
  </si>
  <si>
    <t>R129</t>
  </si>
  <si>
    <t>R134</t>
  </si>
  <si>
    <t>R137</t>
  </si>
  <si>
    <t>R141, R145</t>
  </si>
  <si>
    <t>R152, R154, R156, R157, R158, R161, R162, R284, R285</t>
  </si>
  <si>
    <t>R167, R168, R170</t>
  </si>
  <si>
    <t>R252, R253, R280</t>
  </si>
  <si>
    <t>R266, R267</t>
  </si>
  <si>
    <t>R275</t>
  </si>
  <si>
    <t>R296</t>
  </si>
  <si>
    <t>R347, R352, R362, R365, R369, R371, R373, R387, R389, R391, R393, R395, R397, R399, R404, R406, R408, R410, R432, R434, R436, R438, R440, R442, R444, R446, R448, R450, R452, R454, R468, R470, R472, R474, R476, R478, R480, R482, R484, R486, R488, R490, R504, R506, R508, R510, R512, R514, R516, R518, R520, R522, R524, R526, R540, R542, R544, R546, R548, R550, R552, R554, R560, R562</t>
  </si>
  <si>
    <t>R361</t>
  </si>
  <si>
    <t>R363</t>
  </si>
  <si>
    <t>R564</t>
  </si>
  <si>
    <t>S1</t>
  </si>
  <si>
    <t>SH-J1, SH-J2, SH-J3</t>
  </si>
  <si>
    <t>T1</t>
  </si>
  <si>
    <t>TP1, TP2, TP3, TP4, TP5, TP23, TP43, TP50, TP51, TP52</t>
  </si>
  <si>
    <t>TP10, TP11, TP12, TP13</t>
  </si>
  <si>
    <t>TP18, TP28, TP40, TP41, TP42, TP54</t>
  </si>
  <si>
    <t>U1</t>
  </si>
  <si>
    <t>U3, U34, U39</t>
  </si>
  <si>
    <t>U4</t>
  </si>
  <si>
    <t>U6</t>
  </si>
  <si>
    <t>U7</t>
  </si>
  <si>
    <t>U8</t>
  </si>
  <si>
    <t>U10</t>
  </si>
  <si>
    <t>U15</t>
  </si>
  <si>
    <t>U18, U35</t>
  </si>
  <si>
    <t>U33</t>
  </si>
  <si>
    <t>U36</t>
  </si>
  <si>
    <t>U40</t>
  </si>
  <si>
    <t>U41</t>
  </si>
  <si>
    <t>U42</t>
  </si>
  <si>
    <t>U44</t>
  </si>
  <si>
    <t>Y1</t>
  </si>
  <si>
    <t>Y2</t>
  </si>
  <si>
    <t>C34, C63, C124, C125</t>
  </si>
  <si>
    <t>C64, C65, C108, C109, C110, C111, C112, C113, C114, C115, C116, C117, C118, C119, C121, C122, C123, C130, C131, C133, C134, C135, C137, C139, C160</t>
  </si>
  <si>
    <t>C101, C102</t>
  </si>
  <si>
    <t>C162, C163, C164, C165</t>
  </si>
  <si>
    <t>J11</t>
  </si>
  <si>
    <t>R19, R31, R33, R39, R62, R74, R79, R92, R104, R114</t>
  </si>
  <si>
    <t>R20, R29, R122, R123, R140, R144, R146, R147, R148, R151, R173, R236, R247, R248, R420, R422, R423, R425</t>
  </si>
  <si>
    <t>R21, R35, R66, R89, R108</t>
  </si>
  <si>
    <t>R23, R38, R67, R91, R109</t>
  </si>
  <si>
    <t>R24, R27, R28, R32, R34, R37, R40, R41, R65, R77, R86, R100, R105, R111, R116, R128, R131, R132, R133, R138, R234, R235, R276</t>
  </si>
  <si>
    <t>R52, R375, R376, R377, R378, R379, R412, R413, R414, R415, R416, R417, R456, R457, R458, R459, R460, R461, R492, R493, R494, R495, R496, R497, R528, R529, R530, R531, R532, R533, R556, R557</t>
  </si>
  <si>
    <t>R112, R113, R115, R120</t>
  </si>
  <si>
    <t>R240, R241</t>
  </si>
  <si>
    <t>R283, R286</t>
  </si>
  <si>
    <t>S2, S3</t>
  </si>
  <si>
    <t>U2</t>
  </si>
  <si>
    <t>U5, U51</t>
  </si>
  <si>
    <t>U6_1, U14_1, U17_1</t>
  </si>
  <si>
    <t>U8_1</t>
  </si>
  <si>
    <t>U9</t>
  </si>
  <si>
    <t>U11</t>
  </si>
  <si>
    <t>U12</t>
  </si>
  <si>
    <t>U13</t>
  </si>
  <si>
    <t>U14, U17</t>
  </si>
  <si>
    <t>U16</t>
  </si>
  <si>
    <t>Quantity</t>
  </si>
  <si>
    <t>Value</t>
  </si>
  <si>
    <t>0.1uF</t>
  </si>
  <si>
    <t>20pF</t>
  </si>
  <si>
    <t>10uF</t>
  </si>
  <si>
    <t>4.7pF</t>
  </si>
  <si>
    <t>4.7uF</t>
  </si>
  <si>
    <t>100pF</t>
  </si>
  <si>
    <t>0.01uF</t>
  </si>
  <si>
    <t>18pF</t>
  </si>
  <si>
    <t>6.8pF</t>
  </si>
  <si>
    <t>0.012uF</t>
  </si>
  <si>
    <t>0.47uF</t>
  </si>
  <si>
    <t>Red</t>
  </si>
  <si>
    <t>110V</t>
  </si>
  <si>
    <t>6V</t>
  </si>
  <si>
    <t>120 ohm</t>
  </si>
  <si>
    <t>100k</t>
  </si>
  <si>
    <t>5.1k</t>
  </si>
  <si>
    <t>18k</t>
  </si>
  <si>
    <t>11k</t>
  </si>
  <si>
    <t>10.0k</t>
  </si>
  <si>
    <t>3.60k</t>
  </si>
  <si>
    <t>1.0k</t>
  </si>
  <si>
    <t>12.0k</t>
  </si>
  <si>
    <t>2.2k</t>
  </si>
  <si>
    <t>10k</t>
  </si>
  <si>
    <t>56.2k</t>
  </si>
  <si>
    <t>100kΩ</t>
  </si>
  <si>
    <t>1.02k</t>
  </si>
  <si>
    <t>5pF</t>
  </si>
  <si>
    <t>1.00k</t>
  </si>
  <si>
    <t>PartNumber</t>
  </si>
  <si>
    <t>GRM155R71C104KA88D</t>
  </si>
  <si>
    <t>C0402C200J5GACTU</t>
  </si>
  <si>
    <t>200LLE10MEFC8X11.5</t>
  </si>
  <si>
    <t>C1206C104K2RACTU</t>
  </si>
  <si>
    <t>EEE-FK1V100R</t>
  </si>
  <si>
    <t>0402YC104KAT2A</t>
  </si>
  <si>
    <t>06035A4R7CAT2A</t>
  </si>
  <si>
    <t>C0805C475K3PACTU</t>
  </si>
  <si>
    <t>AC0603JRNPOYBN101</t>
  </si>
  <si>
    <t>GRM188R60J106ME47D</t>
  </si>
  <si>
    <t>520L103KT16T</t>
  </si>
  <si>
    <t>C2012X7T2E104K125AA</t>
  </si>
  <si>
    <t>C1005X5R0J104K050BA</t>
  </si>
  <si>
    <t>CL05A475MP5NRNC</t>
  </si>
  <si>
    <t>C0603X6S1C104K030BC</t>
  </si>
  <si>
    <t>06035A180JAT2A</t>
  </si>
  <si>
    <t>CC0603CRNPO0BN6R8</t>
  </si>
  <si>
    <t>GRM155R71C123KA01D</t>
  </si>
  <si>
    <t>0603ZC101KAT2A</t>
  </si>
  <si>
    <t>04026D474KAT2A</t>
  </si>
  <si>
    <t>CMD17-21SRC/TR8</t>
  </si>
  <si>
    <t>UDZLVTE-17110</t>
  </si>
  <si>
    <t>MMSZ5233B-7-F</t>
  </si>
  <si>
    <t>BLM18SG121TN1D</t>
  </si>
  <si>
    <t>NY PMS 440 0025 PH</t>
  </si>
  <si>
    <t>1902C</t>
  </si>
  <si>
    <t>AK67421-0.3</t>
  </si>
  <si>
    <t>PPTC252LFBN-RC</t>
  </si>
  <si>
    <t>901-144-8RFX</t>
  </si>
  <si>
    <t>TSW-103-07-G-S</t>
  </si>
  <si>
    <t>67803-8020</t>
  </si>
  <si>
    <t>TNPW1206100KBEEA</t>
  </si>
  <si>
    <t>CRCW04025K10JNED</t>
  </si>
  <si>
    <t>CRCW040218K0JNED</t>
  </si>
  <si>
    <t>CRCW040211K0JNED</t>
  </si>
  <si>
    <t>CRCW040210K0DHEDP</t>
  </si>
  <si>
    <t>RG1608P-362-B-T5</t>
  </si>
  <si>
    <t>CRCW04021K00JNED</t>
  </si>
  <si>
    <t>CRCW0402499RFKED</t>
  </si>
  <si>
    <t>ERJ-2GE0R00X</t>
  </si>
  <si>
    <t>ERJ-L03KF10CV</t>
  </si>
  <si>
    <t>CRCW0402100RJNED</t>
  </si>
  <si>
    <t>ERJ-2GEJ101X</t>
  </si>
  <si>
    <t>RG1005P-101-B-T5</t>
  </si>
  <si>
    <t>TNPW060349R9BEEA</t>
  </si>
  <si>
    <t>CRCW040212K0FKED</t>
  </si>
  <si>
    <t>CRCW04022K20JNED</t>
  </si>
  <si>
    <t>CRCW0402100RFKED</t>
  </si>
  <si>
    <t>ERJ-3GEYJ100V</t>
  </si>
  <si>
    <t>ERJ-2GEJ103X</t>
  </si>
  <si>
    <t>RL0603FR-070R02L</t>
  </si>
  <si>
    <t>RT0603BRD07150RL</t>
  </si>
  <si>
    <t>CRCW040256K2FKED</t>
  </si>
  <si>
    <t>CRCW04020000Z0ED</t>
  </si>
  <si>
    <t>CRCW040212R0JNED</t>
  </si>
  <si>
    <t>CT-94EW104</t>
  </si>
  <si>
    <t>CRCW12061K02FKEA</t>
  </si>
  <si>
    <t>EVQ-5PN04K</t>
  </si>
  <si>
    <t>QPC02SXGN-RC</t>
  </si>
  <si>
    <t>ADT4-1WT+</t>
  </si>
  <si>
    <t>TX7364</t>
  </si>
  <si>
    <t>TPS79901YZUT</t>
  </si>
  <si>
    <t>ISO7841DWW</t>
  </si>
  <si>
    <t>FT4232H-56Q-TRAY</t>
  </si>
  <si>
    <t>ISO7840FDWWR</t>
  </si>
  <si>
    <t>93LC46BT-I/SN</t>
  </si>
  <si>
    <t>TPS79901DDCR</t>
  </si>
  <si>
    <t>SN74AUP1G08DBVT</t>
  </si>
  <si>
    <t>CDCM1802RGTR</t>
  </si>
  <si>
    <t>SN74AXC1T45DBVR</t>
  </si>
  <si>
    <t>SN65LVDS100DGKR</t>
  </si>
  <si>
    <t>SN74AUP2G79DCUR</t>
  </si>
  <si>
    <t>SN74AXC4T774RSVR</t>
  </si>
  <si>
    <t>SG3225VAN 250.000000M-KEGA3</t>
  </si>
  <si>
    <t>ABM3-12.000MHZ-D2Y-T</t>
  </si>
  <si>
    <t>CBR04C509B1GAC</t>
  </si>
  <si>
    <t>TSW-105-07-F-D</t>
  </si>
  <si>
    <t>CRCW0402121RFKED</t>
  </si>
  <si>
    <t>CRCW0402169RFKED</t>
  </si>
  <si>
    <t>CRCW25121K00FKEG</t>
  </si>
  <si>
    <t>TLV75801PDBVT</t>
  </si>
  <si>
    <t>SN74AUC74RGYR</t>
  </si>
  <si>
    <t>ISO7741DWR</t>
  </si>
  <si>
    <t>ISO7740FDWR</t>
  </si>
  <si>
    <t>5M570ZT100A5N</t>
  </si>
  <si>
    <t>SN65LVDT2DBVR</t>
  </si>
  <si>
    <t>LMK00304SQ/NOPB</t>
  </si>
  <si>
    <t>LMK61E2-SIAR</t>
  </si>
  <si>
    <t>ISO1540QDRQ1</t>
  </si>
  <si>
    <t>Manufacturer</t>
  </si>
  <si>
    <t>Any</t>
  </si>
  <si>
    <t>MuRata</t>
  </si>
  <si>
    <t>Kemet</t>
  </si>
  <si>
    <t>Rubycon</t>
  </si>
  <si>
    <t>Panasonic</t>
  </si>
  <si>
    <t>AVX</t>
  </si>
  <si>
    <t>Yageo</t>
  </si>
  <si>
    <t>AT Ceramics</t>
  </si>
  <si>
    <t>TDK</t>
  </si>
  <si>
    <t>Samsung Electro-Mechanics</t>
  </si>
  <si>
    <t>Visual Communications Company, LLC</t>
  </si>
  <si>
    <t>Rohm</t>
  </si>
  <si>
    <t>Diodes Inc.</t>
  </si>
  <si>
    <t>B&amp;F Fastener Supply</t>
  </si>
  <si>
    <t>Keystone</t>
  </si>
  <si>
    <t>Assman WSW</t>
  </si>
  <si>
    <t>Sullins Connector Solutions</t>
  </si>
  <si>
    <t>Phoenix Contact</t>
  </si>
  <si>
    <t>Amphenol RF</t>
  </si>
  <si>
    <t>Samtec</t>
  </si>
  <si>
    <t>Molex</t>
  </si>
  <si>
    <t>Vishay-Dale</t>
  </si>
  <si>
    <t>Susumu Co Ltd</t>
  </si>
  <si>
    <t>Yageo America</t>
  </si>
  <si>
    <t>Nidec Components</t>
  </si>
  <si>
    <t>Sullins</t>
  </si>
  <si>
    <t>Minicircuits</t>
  </si>
  <si>
    <t>Keystone Electronics</t>
  </si>
  <si>
    <t>Texas Instruments</t>
  </si>
  <si>
    <t>FTDI</t>
  </si>
  <si>
    <t>Microchip</t>
  </si>
  <si>
    <t>EPSON</t>
  </si>
  <si>
    <t>Abracon Corporation</t>
  </si>
  <si>
    <t>Altera</t>
  </si>
  <si>
    <t>Description</t>
  </si>
  <si>
    <t>Printed Circuit Board</t>
  </si>
  <si>
    <t>CAP, CERM, 0.1 uF, 16 V, +/- 10%, X7R, 0402</t>
  </si>
  <si>
    <t>CAP, CERM, 20 pF, 50 V, +/- 5%, C0G/NP0, 0402</t>
  </si>
  <si>
    <t>CAP, AL, 10 uF, 200 V, +/- 20%, TH</t>
  </si>
  <si>
    <t>CAP, CERM, 0.1 uF, 200 V, +/- 10%, X7R, 1206</t>
  </si>
  <si>
    <t>CAP, AL, 10 uF, 35 V, +/- 20%, 0.7 ohm, AEC-Q200 Grade 2, SMD</t>
  </si>
  <si>
    <t>CAP, CERM, 4.7 pF, 50 V, +/- 5%, C0G/NP0, 0603</t>
  </si>
  <si>
    <t>CAP, CERM, 4.7 uF, 25 V, +/- 10%, X5R, 0805</t>
  </si>
  <si>
    <t>CAP, CERM, 100 pF, 250 V,+/- 5%, C0G/NP0, AEC-Q200 Grade 1, 0603</t>
  </si>
  <si>
    <t>CAP, CERM, 10 uF, 6.3 V, +/- 20%, X5R, 0603</t>
  </si>
  <si>
    <t>CAP, CERM, 0.01 uF, 16 V, +/- 10%, X7R, 0402</t>
  </si>
  <si>
    <t>CAP, CERM, 0.1 uF, 250 V, +/- 10%, X7T, 0805</t>
  </si>
  <si>
    <t>CAP, CERM, 0.1 uF, 6.3 V, +/- 10%, X5R, 0402</t>
  </si>
  <si>
    <t>CAP, CERM, 4.7 uF, 10 V, +/- 20%, X5R, 0402</t>
  </si>
  <si>
    <t>CAP, CERM, 0.1 uF, 16 V, +/- 10%, X6S, 0201</t>
  </si>
  <si>
    <t>CAP, CERM, 18 pF, 50 V, +/- 5%, C0G/NP0, 0603</t>
  </si>
  <si>
    <t>CAP, CERM, 6.8 pF, 100 V,+/- 3.7%, C0G/NP0, 0603</t>
  </si>
  <si>
    <t>CAP, CERM, 0.012 uF, 16 V, +/- 10%, X7R, 0402</t>
  </si>
  <si>
    <t>CAP, CERM, 100 pF, 10 V, +/- 10%, X7R, 0603</t>
  </si>
  <si>
    <t>CAP, CERM, 0.47 uF, 6.3 V, +/- 10%, X5R, 0402</t>
  </si>
  <si>
    <t>LED, Red, SMD</t>
  </si>
  <si>
    <t>Diode, Zener, 110 V, 200 mW, SOD-323F</t>
  </si>
  <si>
    <t>Diode, Zener, 6 V, 500 mW, SOD-123</t>
  </si>
  <si>
    <t>Ferrite Bead, 120 ohm @ 100 MHz, 3 A, 0603</t>
  </si>
  <si>
    <t>Fiducial mark.  There is nothing to buy or mount.</t>
  </si>
  <si>
    <t>Machine Screw, Round, #4-40 x 1/4, Nylon, Philips panhead</t>
  </si>
  <si>
    <t>Standoff, Hex, 0.5"L #4-40 Nylon</t>
  </si>
  <si>
    <t>Cable, USB-A to micro USB-B, 0.3 m</t>
  </si>
  <si>
    <t>Receptacle, 2.54mm, 25x2, Tin, TH</t>
  </si>
  <si>
    <t>Terminal Block, 3x1, 2.54 mm, TH</t>
  </si>
  <si>
    <t>SMA Straight Jack, Gold, 50 Ohm, TH</t>
  </si>
  <si>
    <t>Header, 100mil, 3x1, Gold, TH</t>
  </si>
  <si>
    <t>Connector, Receptacle, USB - mini AB, R/A, SMD</t>
  </si>
  <si>
    <t>RES, 100 k, 0.1%, 0.25 W, AEC-Q200 Grade 1, 1206</t>
  </si>
  <si>
    <t>RES, 5.1 k, 5%, 0.063 W, AEC-Q200 Grade 0, 0402</t>
  </si>
  <si>
    <t>RES, 18 k, 5%, 0.063 W, AEC-Q200 Grade 0, 0402</t>
  </si>
  <si>
    <t>RES, 11 k, 5%, 0.063 W, AEC-Q200 Grade 0, 0402</t>
  </si>
  <si>
    <t>RES, 10.0 k, 0.5%, 0.063 W, AEC-Q200 Grade 0, 0402</t>
  </si>
  <si>
    <t>RES, 3.60 k, 0.1%, 0.1 W, 0603</t>
  </si>
  <si>
    <t>RES, 1.0 k, 5%, 0.063 W, AEC-Q200 Grade 0, 0402</t>
  </si>
  <si>
    <t>RES, 499, 1%, 0.063 W, AEC-Q200 Grade 0, 0402</t>
  </si>
  <si>
    <t>RES, 0, 5%, 0.1 W, AEC-Q200 Grade 0, 0402</t>
  </si>
  <si>
    <t>RES, 0.1, 1%, 0.1 W, AEC-Q200 Grade 1, 0603</t>
  </si>
  <si>
    <t>RES, 100, 5%, 0.063 W, AEC-Q200 Grade 0, 0402</t>
  </si>
  <si>
    <t>RES, 100, 5%, 0.1 W, AEC-Q200 Grade 0, 0402</t>
  </si>
  <si>
    <t>RES, 100, 0.1%, 0.063 W, 0402</t>
  </si>
  <si>
    <t>RES, 49.9, 0.1%, 0.1 W, AEC-Q200 Grade 1, 0603</t>
  </si>
  <si>
    <t>RES, 12.0 k, 1%, 0.063 W, AEC-Q200 Grade 0, 0402</t>
  </si>
  <si>
    <t>RES, 2.2 k, 5%, 0.063 W, AEC-Q200 Grade 0, 0402</t>
  </si>
  <si>
    <t>RES, 100, 1%, 0.063 W, AEC-Q200 Grade 0, 0402</t>
  </si>
  <si>
    <t>Thick Film Resistors - SMD 0603 10ohms 5% AEC-Q200</t>
  </si>
  <si>
    <t>RES, 10 k, 5%, 0.1 W, AEC-Q200 Grade 0, 0402</t>
  </si>
  <si>
    <t>RES, 0.02, 1%, 0.1 W, AEC-Q200 Grade 0, 0603</t>
  </si>
  <si>
    <t>RES, 150, 0.1%, 0.1 W, 0603</t>
  </si>
  <si>
    <t>RES, 56.2 k, 1%, 0.063 W, AEC-Q200 Grade 0, 0402</t>
  </si>
  <si>
    <t>RES, 1.0 k, 5%, 0.063 W, 0402</t>
  </si>
  <si>
    <t>RES, 0, 5%, 0.063 W, AEC-Q200 Grade 0, 0402</t>
  </si>
  <si>
    <t>RES, 0, 1%, 0.5 W, 0805</t>
  </si>
  <si>
    <t>RES, 12, 5%, 0.063 W, AEC-Q200 Grade 0, 0402</t>
  </si>
  <si>
    <t>100 kOhms 0.5W, 1/2W PC Pins Through Hole Trimmer Potentiometer Cermet 18.0 Turn Top Adjustment</t>
  </si>
  <si>
    <t>RES, 1.02 k, 1%, 0.25 W, AEC-Q200 Grade 0, 1206</t>
  </si>
  <si>
    <t>Switch, SPST-NO, Off-Mom, 0.05 A, 12 VDC, SMD</t>
  </si>
  <si>
    <t>CONN JUMPER S2 (1 x 2) Position Shunt Connector Black Open Top 0.100" (2.54mm) GoldHORTING .100" GOLD</t>
  </si>
  <si>
    <t>RF Transformer, 50 ohm, 2 to 775 MHz, SMT</t>
  </si>
  <si>
    <t>Test Point, Miniature, Red, TH</t>
  </si>
  <si>
    <t>Test Point, Miniature, Black, TH</t>
  </si>
  <si>
    <t>Test Point, Miniature, Yellow, TH</t>
  </si>
  <si>
    <t>Single Output High PSRR LDO, 200 mA, Adjustable 1.2 to 6.5 V Output, 2.7 to 6.5 V Input, with Low IQ, 5-pin DSBGA (YZU), -40 to 85 degC, Green (RoHS &amp; no Sb/Br)</t>
  </si>
  <si>
    <t>CMOS Low-Power Monostable/Astable Multivibrator, D0014A, LARGE T&amp;R</t>
  </si>
  <si>
    <t>High-Immunity, 5.7kVRMS Reinforced Quad-Channel 3/1 Digital Isolator, 100Mbps, DWW0016A (SOIC-16)</t>
  </si>
  <si>
    <t>Future Technology Devices International Ltd FT4232H Quad High Speed USB to Multipurpose UART/MPSSE IC, VQFN-56</t>
  </si>
  <si>
    <t>High-Performance, 8000-VPK Reinforced Quad-Channel Digital Isolator</t>
  </si>
  <si>
    <t>1K Microwire Compatible Serial EEPROM</t>
  </si>
  <si>
    <t>Single Output High PSRR LDO, 200 mA, Adjustable 1.2 to 6.5 V Output, 2.7 to 6.5 V Input, with Low IQ, 5-pin SOT (DDC), -40 to 85 degC, Green (RoHS &amp; no Sb/Br)</t>
  </si>
  <si>
    <t>Low-Power Single 2-Input Positive-AND Gate, DBV0005A (SOT-23-5)</t>
  </si>
  <si>
    <t>Clock Buffer w/Programmable Divider, LVPECL I/O + addl LVCMOS output, RGT0016A (VQFN-16)</t>
  </si>
  <si>
    <t>Single Schmitt-Trigger Inverter, DBV0005A, LARGE T&amp;R</t>
  </si>
  <si>
    <t>Single-Bit Dual-Supply Bus Transceiver, DBV0006A (SOT-23-6)</t>
  </si>
  <si>
    <t>2 Gbps LVDS/LVPECL/CML to LVDS Buffer/Repeater/Translator, DGK0008A (VSSOP-8)</t>
  </si>
  <si>
    <t>Low-Power Dual Positive-Edge-Triggered D-Type Flip-Flop, DCU0008A (VSSOP-8)</t>
  </si>
  <si>
    <t>4 Bit Direction Controlled Level Translator, RSV0016A (UQFN-16)</t>
  </si>
  <si>
    <t>XTAL OSC XO 250.0000MHZ LVDS SMD</t>
  </si>
  <si>
    <t>Crystal, 12 MHz, 18 pF, SMD</t>
  </si>
  <si>
    <t>CAP, CERM, 5 pF, 100 V,+/- 2%, C0G/NP0, 0402</t>
  </si>
  <si>
    <t>Header, 2.54mm, 5x2, Gold, Black, TH</t>
  </si>
  <si>
    <t>RES, 121, 1%, 0.063 W, AEC-Q200 Grade 0, 0402</t>
  </si>
  <si>
    <t>RES, 169, 1%, 0.063 W, AEC-Q200 Grade 0, 0402</t>
  </si>
  <si>
    <t>RES, 1.00 k, 1%, 1 W, AEC-Q200 Grade 0, 2512</t>
  </si>
  <si>
    <t>Linear Voltage Regulator IC  1 Output  500mA SOT-23-5</t>
  </si>
  <si>
    <t>Dual Positive-Edge-Triggered D-Type Flip-Flops with Clear and Preset, RGY0014A, LARGE T&amp;R</t>
  </si>
  <si>
    <t>High-Speed, Low-Power, Robust EMC Quad-Channel Digital Isolator, DW0016B (SOIC-16)</t>
  </si>
  <si>
    <t>IC CPLD 440MC, TQFP-100</t>
  </si>
  <si>
    <t>Single LVDS Receiver, DBV0005A (SOT-23-5)</t>
  </si>
  <si>
    <t>3.1-GHz Differential Clock Buffer/Level Translator, RTV0032A (WQFN-32)</t>
  </si>
  <si>
    <t>Ultra-Low Jitter Fully Programmable Oscillator, Integrated EEPROM, +/-50ppm, SIA0008B (QFM-8)</t>
  </si>
  <si>
    <t>Low-Power Bidirectional I2C Isolators, D0008B (SOIC-8)</t>
  </si>
  <si>
    <t>PackageReference</t>
  </si>
  <si>
    <t>0402</t>
  </si>
  <si>
    <t>RCAP_8x11.5mm</t>
  </si>
  <si>
    <t>1206</t>
  </si>
  <si>
    <t>SMT Radial C</t>
  </si>
  <si>
    <t>0603</t>
  </si>
  <si>
    <t>0805</t>
  </si>
  <si>
    <t>0201</t>
  </si>
  <si>
    <t>2x1.25mm</t>
  </si>
  <si>
    <t>SOD-323F</t>
  </si>
  <si>
    <t>SOD-123</t>
  </si>
  <si>
    <t>Screw</t>
  </si>
  <si>
    <t>Standoff</t>
  </si>
  <si>
    <t>Receptacle, 2.54mm, 25x2, TH</t>
  </si>
  <si>
    <t>SMA Straight Jack, TH</t>
  </si>
  <si>
    <t>3x1 Header</t>
  </si>
  <si>
    <t>Receptacle, 5-Leads, Body 9.9x9mm, R/A</t>
  </si>
  <si>
    <t>PTH_POTEN_9MM6_4MM8</t>
  </si>
  <si>
    <t>6x3.5mm</t>
  </si>
  <si>
    <t>JUMPER</t>
  </si>
  <si>
    <t>CD542</t>
  </si>
  <si>
    <t>Red Miniature Testpoint</t>
  </si>
  <si>
    <t>Black Miniature Testpoint</t>
  </si>
  <si>
    <t>Yellow Miniature Testpoint</t>
  </si>
  <si>
    <t>FCBGA196</t>
  </si>
  <si>
    <t>YZU0005AEBC</t>
  </si>
  <si>
    <t>D0014A</t>
  </si>
  <si>
    <t>DWW0016A</t>
  </si>
  <si>
    <t>VQFN-56</t>
  </si>
  <si>
    <t>SOIC16</t>
  </si>
  <si>
    <t>SOIC-8</t>
  </si>
  <si>
    <t>DDC0005A</t>
  </si>
  <si>
    <t>DBV0005A</t>
  </si>
  <si>
    <t>RGT0016A</t>
  </si>
  <si>
    <t>DBV0006A</t>
  </si>
  <si>
    <t>DGK0008A</t>
  </si>
  <si>
    <t>DCU0008A</t>
  </si>
  <si>
    <t>RSV0016A</t>
  </si>
  <si>
    <t>XTAL_SMD_3MM2_2MM5</t>
  </si>
  <si>
    <t>ABM3</t>
  </si>
  <si>
    <t>Header, 2.54mm, 5x2, TH</t>
  </si>
  <si>
    <t>2512</t>
  </si>
  <si>
    <t>SOT-23-5</t>
  </si>
  <si>
    <t>RGY0014A</t>
  </si>
  <si>
    <t>DW0016B</t>
  </si>
  <si>
    <t>14x14mm</t>
  </si>
  <si>
    <t>RTV0032A</t>
  </si>
  <si>
    <t>SIA0008B</t>
  </si>
  <si>
    <t>D0008B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</si>
</sst>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Arial Unicode MS"/>
      <family val="2"/>
    </font>
    <font>
      <b/>
      <sz val="16"/>
      <name val="Arial"/>
      <family val="2"/>
    </font>
    <font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2" fillId="0" borderId="0" xfId="0" applyFont="1" applyBorder="1" applyAlignment="1">
      <alignment vertical="top"/>
    </xf>
    <xf numFmtId="0" fontId="0" fillId="0" borderId="0" xfId="0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0" xfId="0" applyBorder="1" applyAlignment="1">
      <alignment horizontal="left" vertical="top"/>
    </xf>
    <xf numFmtId="0" fontId="2" fillId="0" borderId="1" xfId="0" applyFont="1" applyFill="1" applyBorder="1" applyAlignment="1">
      <alignment horizontal="center" vertical="top"/>
    </xf>
    <xf numFmtId="0" fontId="2" fillId="0" borderId="1" xfId="0" applyNumberFormat="1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/>
    </xf>
    <xf numFmtId="0" fontId="2" fillId="2" borderId="2" xfId="0" applyNumberFormat="1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 wrapText="1"/>
    </xf>
    <xf numFmtId="0" fontId="0" fillId="0" borderId="0" xfId="0" applyAlignment="1"/>
    <xf numFmtId="0" fontId="3" fillId="0" borderId="0" xfId="0" applyFont="1" applyAlignment="1"/>
    <xf numFmtId="0" fontId="4" fillId="0" borderId="0" xfId="0" applyFont="1" applyAlignment="1">
      <alignment horizontal="center" vertical="top"/>
    </xf>
    <xf numFmtId="49" fontId="2" fillId="0" borderId="1" xfId="0" applyNumberFormat="1" applyFont="1" applyFill="1" applyBorder="1" applyAlignment="1">
      <alignment horizontal="left" vertical="top" wrapText="1"/>
    </xf>
    <xf numFmtId="49" fontId="2" fillId="2" borderId="2" xfId="0" applyNumberFormat="1" applyFont="1" applyFill="1" applyBorder="1" applyAlignment="1">
      <alignment horizontal="left" vertical="top" wrapText="1"/>
    </xf>
    <xf numFmtId="0" fontId="5" fillId="0" borderId="0" xfId="0" quotePrefix="1" applyFont="1" applyAlignment="1">
      <alignment horizontal="left" vertical="top" wrapText="1"/>
    </xf>
    <xf numFmtId="0" fontId="0" fillId="0" borderId="0" xfId="0" quotePrefix="1" applyAlignment="1">
      <alignment vertical="top"/>
    </xf>
    <xf numFmtId="0" fontId="5" fillId="0" borderId="0" xfId="0" quotePrefix="1" applyFont="1" applyAlignment="1">
      <alignment vertical="top"/>
    </xf>
  </cellXfs>
  <cellStyles count="1">
    <cellStyle name="Normal" xfId="0" builtinId="0"/>
  </cellStyles>
  <dxfs count="56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2514600</xdr:colOff>
      <xdr:row>0</xdr:row>
      <xdr:rowOff>57150</xdr:rowOff>
    </xdr:from>
    <xdr:to>
      <xdr:col>7</xdr:col>
      <xdr:colOff>1160145</xdr:colOff>
      <xdr:row>3</xdr:row>
      <xdr:rowOff>169545</xdr:rowOff>
    </xdr:to>
    <xdr:pic>
      <xdr:nvPicPr>
        <xdr:cNvPr id="1026" name="Picture 1">
          <a:extLst>
            <a:ext uri="{FF2B5EF4-FFF2-40B4-BE49-F238E27FC236}">
              <a16:creationId xmlns:a16="http://schemas.microsoft.com/office/drawing/2014/main" id="{770F737F-B58B-465F-B95F-A2D9301AC5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34450" y="57150"/>
          <a:ext cx="27051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8"/>
  <sheetViews>
    <sheetView showGridLines="0" tabSelected="1" zoomScaleNormal="100" workbookViewId="0">
      <pane ySplit="6" topLeftCell="A7" activePane="bottomLeft" state="frozen"/>
      <selection pane="bottomLeft" activeCell="H9" sqref="H9"/>
    </sheetView>
  </sheetViews>
  <sheetFormatPr defaultColWidth="9.109375" defaultRowHeight="13.2"/>
  <cols>
    <col min="1" max="1" width="9.6640625" style="1" customWidth="1"/>
    <col min="2" max="2" width="15.6640625" style="1" customWidth="1"/>
    <col min="3" max="3" width="8.6640625" style="3" customWidth="1"/>
    <col min="4" max="4" width="10.6640625" style="1" customWidth="1"/>
    <col min="5" max="5" width="26.6640625" style="5" customWidth="1"/>
    <col min="6" max="6" width="24.6640625" style="3" customWidth="1"/>
    <col min="7" max="7" width="60.6640625" style="1" customWidth="1"/>
    <col min="8" max="8" width="18.6640625" style="1" customWidth="1"/>
    <col min="9" max="16384" width="9.109375" style="1"/>
  </cols>
  <sheetData>
    <row r="1" spans="1:13">
      <c r="A1" s="1" t="s">
        <v>0</v>
      </c>
      <c r="B1" s="19" t="e">
        <f ca="1">MID(CELL("filename"),SEARCH("[",CELL("filename"))+1, SEARCH("]",CELL("filename"))-SEARCH("[",CELL("filename"))-1)</f>
        <v>#VALUE!</v>
      </c>
      <c r="F1" s="23" t="s">
        <v>5</v>
      </c>
    </row>
    <row r="2" spans="1:13">
      <c r="A2" s="1" t="s">
        <v>2</v>
      </c>
      <c r="B2" s="24" t="s">
        <v>6</v>
      </c>
      <c r="F2" s="25" t="s">
        <v>7</v>
      </c>
    </row>
    <row r="3" spans="1:13">
      <c r="A3" s="2" t="s">
        <v>1</v>
      </c>
      <c r="B3" s="24" t="s">
        <v>8</v>
      </c>
      <c r="F3" s="5"/>
    </row>
    <row r="4" spans="1:13" ht="21">
      <c r="A4" s="1" t="s">
        <v>4</v>
      </c>
      <c r="B4" s="24" t="s">
        <v>9</v>
      </c>
      <c r="C4" s="1"/>
      <c r="E4" s="1"/>
      <c r="F4" s="20" t="str">
        <f>F1&amp;" REV "&amp;F2&amp;" Bill of Materials"</f>
        <v>DC309 REV A Bill of Materials</v>
      </c>
    </row>
    <row r="6" spans="1:13">
      <c r="A6" s="16" t="s">
        <v>3</v>
      </c>
      <c r="B6" s="16" t="s">
        <v>10</v>
      </c>
      <c r="C6" s="16" t="s">
        <v>122</v>
      </c>
      <c r="D6" s="16" t="s">
        <v>123</v>
      </c>
      <c r="E6" s="17" t="s">
        <v>154</v>
      </c>
      <c r="F6" s="16" t="s">
        <v>244</v>
      </c>
      <c r="G6" s="17" t="s">
        <v>279</v>
      </c>
      <c r="H6" s="17" t="s">
        <v>376</v>
      </c>
    </row>
    <row r="7" spans="1:13" s="2" customFormat="1">
      <c r="A7" s="8">
        <f>ROW(A7)-ROW($A$6)</f>
        <v>1</v>
      </c>
      <c r="B7" s="10" t="s">
        <v>11</v>
      </c>
      <c r="C7" s="8">
        <v>1</v>
      </c>
      <c r="D7" s="9"/>
      <c r="E7" s="10" t="s">
        <v>5</v>
      </c>
      <c r="F7" s="11" t="s">
        <v>245</v>
      </c>
      <c r="G7" s="9" t="s">
        <v>280</v>
      </c>
      <c r="H7" s="21"/>
      <c r="I7" s="4"/>
      <c r="J7" s="4"/>
      <c r="K7" s="4"/>
      <c r="L7" s="4"/>
      <c r="M7" s="4"/>
    </row>
    <row r="8" spans="1:13" s="2" customFormat="1" ht="26.4">
      <c r="A8" s="15">
        <f>ROW(A8)-ROW($A$6)</f>
        <v>2</v>
      </c>
      <c r="B8" s="13" t="s">
        <v>12</v>
      </c>
      <c r="C8" s="15">
        <v>5</v>
      </c>
      <c r="D8" s="12" t="s">
        <v>124</v>
      </c>
      <c r="E8" s="13" t="s">
        <v>155</v>
      </c>
      <c r="F8" s="14" t="s">
        <v>246</v>
      </c>
      <c r="G8" s="12" t="s">
        <v>281</v>
      </c>
      <c r="H8" s="22" t="s">
        <v>377</v>
      </c>
      <c r="I8" s="4"/>
      <c r="J8" s="4"/>
      <c r="K8" s="4"/>
      <c r="L8" s="4"/>
      <c r="M8" s="4"/>
    </row>
    <row r="9" spans="1:13" s="2" customFormat="1" ht="356.4">
      <c r="A9" s="8">
        <f>ROW(A9)-ROW($A$6)</f>
        <v>3</v>
      </c>
      <c r="B9" s="10" t="s">
        <v>13</v>
      </c>
      <c r="C9" s="8">
        <v>64</v>
      </c>
      <c r="D9" s="9" t="s">
        <v>125</v>
      </c>
      <c r="E9" s="10" t="s">
        <v>156</v>
      </c>
      <c r="F9" s="11" t="s">
        <v>247</v>
      </c>
      <c r="G9" s="9" t="s">
        <v>282</v>
      </c>
      <c r="H9" s="21" t="s">
        <v>377</v>
      </c>
      <c r="I9" s="4"/>
      <c r="J9" s="4"/>
      <c r="K9" s="4"/>
      <c r="L9" s="4"/>
      <c r="M9" s="4"/>
    </row>
    <row r="10" spans="1:13" s="2" customFormat="1">
      <c r="A10" s="15">
        <f>ROW(A10)-ROW($A$6)</f>
        <v>4</v>
      </c>
      <c r="B10" s="13" t="s">
        <v>14</v>
      </c>
      <c r="C10" s="15">
        <v>2</v>
      </c>
      <c r="D10" s="12" t="s">
        <v>126</v>
      </c>
      <c r="E10" s="13" t="s">
        <v>157</v>
      </c>
      <c r="F10" s="14" t="s">
        <v>248</v>
      </c>
      <c r="G10" s="12" t="s">
        <v>283</v>
      </c>
      <c r="H10" s="22" t="s">
        <v>378</v>
      </c>
      <c r="I10" s="4"/>
      <c r="J10" s="4"/>
      <c r="K10" s="4"/>
      <c r="L10" s="4"/>
      <c r="M10" s="4"/>
    </row>
    <row r="11" spans="1:13" s="2" customFormat="1">
      <c r="A11" s="8">
        <f>ROW(A11)-ROW($A$6)</f>
        <v>5</v>
      </c>
      <c r="B11" s="10" t="s">
        <v>15</v>
      </c>
      <c r="C11" s="8">
        <v>2</v>
      </c>
      <c r="D11" s="9" t="s">
        <v>124</v>
      </c>
      <c r="E11" s="10" t="s">
        <v>158</v>
      </c>
      <c r="F11" s="11" t="s">
        <v>247</v>
      </c>
      <c r="G11" s="9" t="s">
        <v>284</v>
      </c>
      <c r="H11" s="21" t="s">
        <v>379</v>
      </c>
      <c r="I11" s="4"/>
      <c r="J11" s="4"/>
      <c r="K11" s="4"/>
      <c r="L11" s="4"/>
      <c r="M11" s="4"/>
    </row>
    <row r="12" spans="1:13" s="2" customFormat="1">
      <c r="A12" s="15">
        <f>ROW(A12)-ROW($A$6)</f>
        <v>6</v>
      </c>
      <c r="B12" s="13" t="s">
        <v>16</v>
      </c>
      <c r="C12" s="15">
        <v>2</v>
      </c>
      <c r="D12" s="12" t="s">
        <v>126</v>
      </c>
      <c r="E12" s="13" t="s">
        <v>159</v>
      </c>
      <c r="F12" s="14" t="s">
        <v>249</v>
      </c>
      <c r="G12" s="12" t="s">
        <v>285</v>
      </c>
      <c r="H12" s="22" t="s">
        <v>380</v>
      </c>
      <c r="I12" s="4"/>
      <c r="J12" s="4"/>
      <c r="K12" s="4"/>
      <c r="L12" s="4"/>
      <c r="M12" s="4"/>
    </row>
    <row r="13" spans="1:13" s="2" customFormat="1" ht="211.2">
      <c r="A13" s="8">
        <f>ROW(A13)-ROW($A$6)</f>
        <v>7</v>
      </c>
      <c r="B13" s="10" t="s">
        <v>17</v>
      </c>
      <c r="C13" s="8">
        <v>35</v>
      </c>
      <c r="D13" s="9" t="s">
        <v>124</v>
      </c>
      <c r="E13" s="10" t="s">
        <v>160</v>
      </c>
      <c r="F13" s="11" t="s">
        <v>250</v>
      </c>
      <c r="G13" s="9" t="s">
        <v>281</v>
      </c>
      <c r="H13" s="21" t="s">
        <v>377</v>
      </c>
      <c r="I13" s="4"/>
      <c r="J13" s="4"/>
      <c r="K13" s="4"/>
      <c r="L13" s="4"/>
      <c r="M13" s="4"/>
    </row>
    <row r="14" spans="1:13" s="2" customFormat="1" ht="26.4">
      <c r="A14" s="15">
        <f>ROW(A14)-ROW($A$6)</f>
        <v>8</v>
      </c>
      <c r="B14" s="13" t="s">
        <v>18</v>
      </c>
      <c r="C14" s="15">
        <v>5</v>
      </c>
      <c r="D14" s="12" t="s">
        <v>127</v>
      </c>
      <c r="E14" s="13" t="s">
        <v>161</v>
      </c>
      <c r="F14" s="14" t="s">
        <v>250</v>
      </c>
      <c r="G14" s="12" t="s">
        <v>286</v>
      </c>
      <c r="H14" s="22" t="s">
        <v>381</v>
      </c>
      <c r="I14" s="4"/>
      <c r="J14" s="4"/>
      <c r="K14" s="4"/>
      <c r="L14" s="4"/>
      <c r="M14" s="4"/>
    </row>
    <row r="15" spans="1:13" s="2" customFormat="1" ht="26.4">
      <c r="A15" s="8">
        <f>ROW(A15)-ROW($A$6)</f>
        <v>9</v>
      </c>
      <c r="B15" s="10" t="s">
        <v>19</v>
      </c>
      <c r="C15" s="8">
        <v>5</v>
      </c>
      <c r="D15" s="9" t="s">
        <v>128</v>
      </c>
      <c r="E15" s="10" t="s">
        <v>162</v>
      </c>
      <c r="F15" s="11" t="s">
        <v>247</v>
      </c>
      <c r="G15" s="9" t="s">
        <v>287</v>
      </c>
      <c r="H15" s="21" t="s">
        <v>382</v>
      </c>
      <c r="I15" s="4"/>
      <c r="J15" s="4"/>
      <c r="K15" s="4"/>
      <c r="L15" s="4"/>
      <c r="M15" s="4"/>
    </row>
    <row r="16" spans="1:13" s="2" customFormat="1" ht="409.6">
      <c r="A16" s="15">
        <f>ROW(A16)-ROW($A$6)</f>
        <v>10</v>
      </c>
      <c r="B16" s="13" t="s">
        <v>20</v>
      </c>
      <c r="C16" s="15">
        <v>64</v>
      </c>
      <c r="D16" s="12" t="s">
        <v>129</v>
      </c>
      <c r="E16" s="13" t="s">
        <v>163</v>
      </c>
      <c r="F16" s="14" t="s">
        <v>251</v>
      </c>
      <c r="G16" s="12" t="s">
        <v>288</v>
      </c>
      <c r="H16" s="22" t="s">
        <v>381</v>
      </c>
      <c r="I16" s="4"/>
      <c r="J16" s="4"/>
      <c r="K16" s="4"/>
      <c r="L16" s="4"/>
      <c r="M16" s="4"/>
    </row>
    <row r="17" spans="1:13" s="2" customFormat="1">
      <c r="A17" s="8">
        <f>ROW(A17)-ROW($A$6)</f>
        <v>11</v>
      </c>
      <c r="B17" s="10" t="s">
        <v>21</v>
      </c>
      <c r="C17" s="8">
        <v>1</v>
      </c>
      <c r="D17" s="9" t="s">
        <v>126</v>
      </c>
      <c r="E17" s="10" t="s">
        <v>164</v>
      </c>
      <c r="F17" s="11" t="s">
        <v>246</v>
      </c>
      <c r="G17" s="9" t="s">
        <v>289</v>
      </c>
      <c r="H17" s="21" t="s">
        <v>381</v>
      </c>
      <c r="I17" s="4"/>
      <c r="J17" s="4"/>
      <c r="K17" s="4"/>
      <c r="L17" s="4"/>
      <c r="M17" s="4"/>
    </row>
    <row r="18" spans="1:13" s="2" customFormat="1">
      <c r="A18" s="15">
        <f>ROW(A18)-ROW($A$6)</f>
        <v>12</v>
      </c>
      <c r="B18" s="13" t="s">
        <v>22</v>
      </c>
      <c r="C18" s="15">
        <v>2</v>
      </c>
      <c r="D18" s="12" t="s">
        <v>130</v>
      </c>
      <c r="E18" s="13" t="s">
        <v>165</v>
      </c>
      <c r="F18" s="14" t="s">
        <v>252</v>
      </c>
      <c r="G18" s="12" t="s">
        <v>290</v>
      </c>
      <c r="H18" s="22" t="s">
        <v>377</v>
      </c>
      <c r="I18" s="4"/>
      <c r="J18" s="4"/>
      <c r="K18" s="4"/>
      <c r="L18" s="4"/>
      <c r="M18" s="4"/>
    </row>
    <row r="19" spans="1:13" s="2" customFormat="1" ht="79.2">
      <c r="A19" s="8">
        <f>ROW(A19)-ROW($A$6)</f>
        <v>13</v>
      </c>
      <c r="B19" s="10" t="s">
        <v>23</v>
      </c>
      <c r="C19" s="8">
        <v>16</v>
      </c>
      <c r="D19" s="9" t="s">
        <v>124</v>
      </c>
      <c r="E19" s="10" t="s">
        <v>166</v>
      </c>
      <c r="F19" s="11" t="s">
        <v>253</v>
      </c>
      <c r="G19" s="9" t="s">
        <v>291</v>
      </c>
      <c r="H19" s="21" t="s">
        <v>382</v>
      </c>
      <c r="I19" s="4"/>
      <c r="J19" s="4"/>
      <c r="K19" s="4"/>
      <c r="L19" s="4"/>
      <c r="M19" s="4"/>
    </row>
    <row r="20" spans="1:13" s="2" customFormat="1" ht="26.4">
      <c r="A20" s="15">
        <f>ROW(A20)-ROW($A$6)</f>
        <v>14</v>
      </c>
      <c r="B20" s="13" t="s">
        <v>24</v>
      </c>
      <c r="C20" s="15">
        <v>4</v>
      </c>
      <c r="D20" s="12" t="s">
        <v>124</v>
      </c>
      <c r="E20" s="13" t="s">
        <v>167</v>
      </c>
      <c r="F20" s="14" t="s">
        <v>253</v>
      </c>
      <c r="G20" s="12" t="s">
        <v>292</v>
      </c>
      <c r="H20" s="22" t="s">
        <v>377</v>
      </c>
      <c r="I20" s="4"/>
      <c r="J20" s="4"/>
      <c r="K20" s="4"/>
      <c r="L20" s="4"/>
      <c r="M20" s="4"/>
    </row>
    <row r="21" spans="1:13" s="2" customFormat="1" ht="26.4">
      <c r="A21" s="8">
        <f>ROW(A21)-ROW($A$6)</f>
        <v>15</v>
      </c>
      <c r="B21" s="10" t="s">
        <v>25</v>
      </c>
      <c r="C21" s="8">
        <v>4</v>
      </c>
      <c r="D21" s="9" t="s">
        <v>128</v>
      </c>
      <c r="E21" s="10" t="s">
        <v>168</v>
      </c>
      <c r="F21" s="11" t="s">
        <v>254</v>
      </c>
      <c r="G21" s="9" t="s">
        <v>293</v>
      </c>
      <c r="H21" s="21" t="s">
        <v>377</v>
      </c>
      <c r="I21" s="4"/>
      <c r="J21" s="4"/>
      <c r="K21" s="4"/>
      <c r="L21" s="4"/>
      <c r="M21" s="4"/>
    </row>
    <row r="22" spans="1:13" s="2" customFormat="1" ht="52.8">
      <c r="A22" s="15">
        <f>ROW(A22)-ROW($A$6)</f>
        <v>16</v>
      </c>
      <c r="B22" s="13" t="s">
        <v>26</v>
      </c>
      <c r="C22" s="15">
        <v>10</v>
      </c>
      <c r="D22" s="12" t="s">
        <v>124</v>
      </c>
      <c r="E22" s="13" t="s">
        <v>169</v>
      </c>
      <c r="F22" s="14" t="s">
        <v>253</v>
      </c>
      <c r="G22" s="12" t="s">
        <v>294</v>
      </c>
      <c r="H22" s="22" t="s">
        <v>383</v>
      </c>
      <c r="I22" s="4"/>
      <c r="J22" s="4"/>
      <c r="K22" s="4"/>
      <c r="L22" s="4"/>
      <c r="M22" s="4"/>
    </row>
    <row r="23" spans="1:13" s="2" customFormat="1">
      <c r="A23" s="8">
        <f>ROW(A23)-ROW($A$6)</f>
        <v>17</v>
      </c>
      <c r="B23" s="10" t="s">
        <v>27</v>
      </c>
      <c r="C23" s="8">
        <v>2</v>
      </c>
      <c r="D23" s="9" t="s">
        <v>131</v>
      </c>
      <c r="E23" s="10" t="s">
        <v>170</v>
      </c>
      <c r="F23" s="11" t="s">
        <v>250</v>
      </c>
      <c r="G23" s="9" t="s">
        <v>295</v>
      </c>
      <c r="H23" s="21" t="s">
        <v>381</v>
      </c>
      <c r="I23" s="4"/>
      <c r="J23" s="4"/>
      <c r="K23" s="4"/>
      <c r="L23" s="4"/>
      <c r="M23" s="4"/>
    </row>
    <row r="24" spans="1:13" s="2" customFormat="1">
      <c r="A24" s="15">
        <f>ROW(A24)-ROW($A$6)</f>
        <v>18</v>
      </c>
      <c r="B24" s="13" t="s">
        <v>28</v>
      </c>
      <c r="C24" s="15">
        <v>1</v>
      </c>
      <c r="D24" s="12" t="s">
        <v>132</v>
      </c>
      <c r="E24" s="13" t="s">
        <v>171</v>
      </c>
      <c r="F24" s="14" t="s">
        <v>251</v>
      </c>
      <c r="G24" s="12" t="s">
        <v>296</v>
      </c>
      <c r="H24" s="22" t="s">
        <v>381</v>
      </c>
      <c r="I24" s="4"/>
      <c r="J24" s="4"/>
      <c r="K24" s="4"/>
      <c r="L24" s="4"/>
      <c r="M24" s="4"/>
    </row>
    <row r="25" spans="1:13" s="2" customFormat="1">
      <c r="A25" s="8">
        <f>ROW(A25)-ROW($A$6)</f>
        <v>19</v>
      </c>
      <c r="B25" s="10" t="s">
        <v>29</v>
      </c>
      <c r="C25" s="8">
        <v>1</v>
      </c>
      <c r="D25" s="9" t="s">
        <v>133</v>
      </c>
      <c r="E25" s="10" t="s">
        <v>172</v>
      </c>
      <c r="F25" s="11" t="s">
        <v>246</v>
      </c>
      <c r="G25" s="9" t="s">
        <v>297</v>
      </c>
      <c r="H25" s="21" t="s">
        <v>377</v>
      </c>
      <c r="I25" s="4"/>
      <c r="J25" s="4"/>
      <c r="K25" s="4"/>
      <c r="L25" s="4"/>
      <c r="M25" s="4"/>
    </row>
    <row r="26" spans="1:13" s="2" customFormat="1">
      <c r="A26" s="15">
        <f>ROW(A26)-ROW($A$6)</f>
        <v>20</v>
      </c>
      <c r="B26" s="13" t="s">
        <v>30</v>
      </c>
      <c r="C26" s="15">
        <v>1</v>
      </c>
      <c r="D26" s="12" t="s">
        <v>129</v>
      </c>
      <c r="E26" s="13" t="s">
        <v>173</v>
      </c>
      <c r="F26" s="14" t="s">
        <v>250</v>
      </c>
      <c r="G26" s="12" t="s">
        <v>298</v>
      </c>
      <c r="H26" s="22" t="s">
        <v>381</v>
      </c>
      <c r="I26" s="4"/>
      <c r="J26" s="4"/>
      <c r="K26" s="4"/>
      <c r="L26" s="4"/>
      <c r="M26" s="4"/>
    </row>
    <row r="27" spans="1:13" s="2" customFormat="1">
      <c r="A27" s="8">
        <f>ROW(A27)-ROW($A$6)</f>
        <v>21</v>
      </c>
      <c r="B27" s="10" t="s">
        <v>31</v>
      </c>
      <c r="C27" s="8">
        <v>1</v>
      </c>
      <c r="D27" s="9" t="s">
        <v>134</v>
      </c>
      <c r="E27" s="10" t="s">
        <v>174</v>
      </c>
      <c r="F27" s="11" t="s">
        <v>250</v>
      </c>
      <c r="G27" s="9" t="s">
        <v>299</v>
      </c>
      <c r="H27" s="21" t="s">
        <v>377</v>
      </c>
      <c r="I27" s="4"/>
      <c r="J27" s="4"/>
      <c r="K27" s="4"/>
      <c r="L27" s="4"/>
      <c r="M27" s="4"/>
    </row>
    <row r="28" spans="1:13" s="2" customFormat="1" ht="39.6">
      <c r="A28" s="15">
        <f>ROW(A28)-ROW($A$6)</f>
        <v>22</v>
      </c>
      <c r="B28" s="13" t="s">
        <v>32</v>
      </c>
      <c r="C28" s="15">
        <v>8</v>
      </c>
      <c r="D28" s="12" t="s">
        <v>135</v>
      </c>
      <c r="E28" s="13" t="s">
        <v>175</v>
      </c>
      <c r="F28" s="14" t="s">
        <v>255</v>
      </c>
      <c r="G28" s="12" t="s">
        <v>300</v>
      </c>
      <c r="H28" s="22" t="s">
        <v>384</v>
      </c>
      <c r="I28" s="4"/>
      <c r="J28" s="4"/>
      <c r="K28" s="4"/>
      <c r="L28" s="4"/>
      <c r="M28" s="4"/>
    </row>
    <row r="29" spans="1:13" s="2" customFormat="1">
      <c r="A29" s="8">
        <f>ROW(A29)-ROW($A$6)</f>
        <v>23</v>
      </c>
      <c r="B29" s="10" t="s">
        <v>33</v>
      </c>
      <c r="C29" s="8">
        <v>2</v>
      </c>
      <c r="D29" s="9" t="s">
        <v>136</v>
      </c>
      <c r="E29" s="10" t="s">
        <v>176</v>
      </c>
      <c r="F29" s="11" t="s">
        <v>256</v>
      </c>
      <c r="G29" s="9" t="s">
        <v>301</v>
      </c>
      <c r="H29" s="21" t="s">
        <v>385</v>
      </c>
      <c r="I29" s="4"/>
      <c r="J29" s="4"/>
      <c r="K29" s="4"/>
      <c r="L29" s="4"/>
      <c r="M29" s="4"/>
    </row>
    <row r="30" spans="1:13" s="2" customFormat="1">
      <c r="A30" s="15">
        <f>ROW(A30)-ROW($A$6)</f>
        <v>24</v>
      </c>
      <c r="B30" s="13" t="s">
        <v>34</v>
      </c>
      <c r="C30" s="15">
        <v>2</v>
      </c>
      <c r="D30" s="12" t="s">
        <v>137</v>
      </c>
      <c r="E30" s="13" t="s">
        <v>177</v>
      </c>
      <c r="F30" s="14" t="s">
        <v>257</v>
      </c>
      <c r="G30" s="12" t="s">
        <v>302</v>
      </c>
      <c r="H30" s="22" t="s">
        <v>386</v>
      </c>
      <c r="I30" s="4"/>
      <c r="J30" s="4"/>
      <c r="K30" s="4"/>
      <c r="L30" s="4"/>
      <c r="M30" s="4"/>
    </row>
    <row r="31" spans="1:13" s="2" customFormat="1">
      <c r="A31" s="8">
        <f>ROW(A31)-ROW($A$6)</f>
        <v>25</v>
      </c>
      <c r="B31" s="10" t="s">
        <v>35</v>
      </c>
      <c r="C31" s="8">
        <v>1</v>
      </c>
      <c r="D31" s="9" t="s">
        <v>138</v>
      </c>
      <c r="E31" s="10" t="s">
        <v>178</v>
      </c>
      <c r="F31" s="11" t="s">
        <v>246</v>
      </c>
      <c r="G31" s="9" t="s">
        <v>303</v>
      </c>
      <c r="H31" s="21" t="s">
        <v>381</v>
      </c>
      <c r="I31" s="4"/>
      <c r="J31" s="4"/>
      <c r="K31" s="4"/>
      <c r="L31" s="4"/>
      <c r="M31" s="4"/>
    </row>
    <row r="32" spans="1:13" s="2" customFormat="1" ht="39.6">
      <c r="A32" s="15">
        <f>ROW(A32)-ROW($A$6)</f>
        <v>26</v>
      </c>
      <c r="B32" s="13" t="s">
        <v>36</v>
      </c>
      <c r="C32" s="15">
        <v>6</v>
      </c>
      <c r="D32" s="12"/>
      <c r="E32" s="13" t="s">
        <v>9</v>
      </c>
      <c r="F32" s="14" t="s">
        <v>9</v>
      </c>
      <c r="G32" s="12" t="s">
        <v>304</v>
      </c>
      <c r="H32" s="22" t="s">
        <v>9</v>
      </c>
      <c r="I32" s="4"/>
      <c r="J32" s="4"/>
      <c r="K32" s="4"/>
      <c r="L32" s="4"/>
      <c r="M32" s="4"/>
    </row>
    <row r="33" spans="1:13" s="2" customFormat="1">
      <c r="A33" s="8">
        <f>ROW(A33)-ROW($A$6)</f>
        <v>27</v>
      </c>
      <c r="B33" s="10" t="s">
        <v>37</v>
      </c>
      <c r="C33" s="8">
        <v>4</v>
      </c>
      <c r="D33" s="9"/>
      <c r="E33" s="10" t="s">
        <v>179</v>
      </c>
      <c r="F33" s="11" t="s">
        <v>258</v>
      </c>
      <c r="G33" s="9" t="s">
        <v>305</v>
      </c>
      <c r="H33" s="21" t="s">
        <v>387</v>
      </c>
      <c r="I33" s="4"/>
      <c r="J33" s="4"/>
      <c r="K33" s="4"/>
      <c r="L33" s="4"/>
      <c r="M33" s="4"/>
    </row>
    <row r="34" spans="1:13" s="2" customFormat="1">
      <c r="A34" s="15">
        <f>ROW(A34)-ROW($A$6)</f>
        <v>28</v>
      </c>
      <c r="B34" s="13" t="s">
        <v>38</v>
      </c>
      <c r="C34" s="15">
        <v>4</v>
      </c>
      <c r="D34" s="12"/>
      <c r="E34" s="13" t="s">
        <v>180</v>
      </c>
      <c r="F34" s="14" t="s">
        <v>259</v>
      </c>
      <c r="G34" s="12" t="s">
        <v>306</v>
      </c>
      <c r="H34" s="22" t="s">
        <v>388</v>
      </c>
      <c r="I34" s="4"/>
      <c r="J34" s="4"/>
      <c r="K34" s="4"/>
      <c r="L34" s="4"/>
      <c r="M34" s="4"/>
    </row>
    <row r="35" spans="1:13" s="2" customFormat="1">
      <c r="A35" s="8">
        <f>ROW(A35)-ROW($A$6)</f>
        <v>29</v>
      </c>
      <c r="B35" s="10" t="s">
        <v>39</v>
      </c>
      <c r="C35" s="8">
        <v>1</v>
      </c>
      <c r="D35" s="9"/>
      <c r="E35" s="10" t="s">
        <v>181</v>
      </c>
      <c r="F35" s="11" t="s">
        <v>260</v>
      </c>
      <c r="G35" s="9" t="s">
        <v>307</v>
      </c>
      <c r="H35" s="21"/>
      <c r="I35" s="4"/>
      <c r="J35" s="4"/>
      <c r="K35" s="4"/>
      <c r="L35" s="4"/>
      <c r="M35" s="4"/>
    </row>
    <row r="36" spans="1:13" s="2" customFormat="1" ht="26.4">
      <c r="A36" s="15">
        <f>ROW(A36)-ROW($A$6)</f>
        <v>30</v>
      </c>
      <c r="B36" s="13" t="s">
        <v>40</v>
      </c>
      <c r="C36" s="15">
        <v>4</v>
      </c>
      <c r="D36" s="12"/>
      <c r="E36" s="13" t="s">
        <v>182</v>
      </c>
      <c r="F36" s="14" t="s">
        <v>261</v>
      </c>
      <c r="G36" s="12" t="s">
        <v>308</v>
      </c>
      <c r="H36" s="22" t="s">
        <v>389</v>
      </c>
      <c r="I36" s="4"/>
      <c r="J36" s="4"/>
      <c r="K36" s="4"/>
      <c r="L36" s="4"/>
      <c r="M36" s="4"/>
    </row>
    <row r="37" spans="1:13" s="2" customFormat="1" ht="26.4">
      <c r="A37" s="8">
        <f>ROW(A37)-ROW($A$6)</f>
        <v>31</v>
      </c>
      <c r="B37" s="10" t="s">
        <v>41</v>
      </c>
      <c r="C37" s="8">
        <v>2</v>
      </c>
      <c r="D37" s="9"/>
      <c r="E37" s="10">
        <v>1725669</v>
      </c>
      <c r="F37" s="11" t="s">
        <v>262</v>
      </c>
      <c r="G37" s="9" t="s">
        <v>309</v>
      </c>
      <c r="H37" s="21" t="s">
        <v>309</v>
      </c>
      <c r="I37" s="4"/>
      <c r="J37" s="4"/>
      <c r="K37" s="4"/>
      <c r="L37" s="4"/>
      <c r="M37" s="4"/>
    </row>
    <row r="38" spans="1:13" s="2" customFormat="1" ht="26.4">
      <c r="A38" s="15">
        <f>ROW(A38)-ROW($A$6)</f>
        <v>32</v>
      </c>
      <c r="B38" s="13" t="s">
        <v>42</v>
      </c>
      <c r="C38" s="15">
        <v>4</v>
      </c>
      <c r="D38" s="12"/>
      <c r="E38" s="13" t="s">
        <v>183</v>
      </c>
      <c r="F38" s="14" t="s">
        <v>263</v>
      </c>
      <c r="G38" s="12" t="s">
        <v>310</v>
      </c>
      <c r="H38" s="22" t="s">
        <v>390</v>
      </c>
      <c r="I38" s="4"/>
      <c r="J38" s="4"/>
      <c r="K38" s="4"/>
      <c r="L38" s="4"/>
      <c r="M38" s="4"/>
    </row>
    <row r="39" spans="1:13" s="2" customFormat="1">
      <c r="A39" s="8">
        <f>ROW(A39)-ROW($A$6)</f>
        <v>33</v>
      </c>
      <c r="B39" s="10" t="s">
        <v>43</v>
      </c>
      <c r="C39" s="8">
        <v>3</v>
      </c>
      <c r="D39" s="9"/>
      <c r="E39" s="10" t="s">
        <v>184</v>
      </c>
      <c r="F39" s="11" t="s">
        <v>264</v>
      </c>
      <c r="G39" s="9" t="s">
        <v>311</v>
      </c>
      <c r="H39" s="21" t="s">
        <v>391</v>
      </c>
      <c r="I39" s="4"/>
      <c r="J39" s="4"/>
      <c r="K39" s="4"/>
      <c r="L39" s="4"/>
      <c r="M39" s="4"/>
    </row>
    <row r="40" spans="1:13" s="2" customFormat="1" ht="26.4">
      <c r="A40" s="15">
        <f>ROW(A40)-ROW($A$6)</f>
        <v>34</v>
      </c>
      <c r="B40" s="13" t="s">
        <v>44</v>
      </c>
      <c r="C40" s="15">
        <v>1</v>
      </c>
      <c r="D40" s="12"/>
      <c r="E40" s="13" t="s">
        <v>185</v>
      </c>
      <c r="F40" s="14" t="s">
        <v>265</v>
      </c>
      <c r="G40" s="12" t="s">
        <v>312</v>
      </c>
      <c r="H40" s="22" t="s">
        <v>392</v>
      </c>
      <c r="I40" s="4"/>
      <c r="J40" s="4"/>
      <c r="K40" s="4"/>
      <c r="L40" s="4"/>
      <c r="M40" s="4"/>
    </row>
    <row r="41" spans="1:13" s="2" customFormat="1">
      <c r="A41" s="8">
        <f>ROW(A41)-ROW($A$6)</f>
        <v>35</v>
      </c>
      <c r="B41" s="10" t="s">
        <v>45</v>
      </c>
      <c r="C41" s="8">
        <v>2</v>
      </c>
      <c r="D41" s="9" t="s">
        <v>139</v>
      </c>
      <c r="E41" s="10" t="s">
        <v>186</v>
      </c>
      <c r="F41" s="11" t="s">
        <v>266</v>
      </c>
      <c r="G41" s="9" t="s">
        <v>313</v>
      </c>
      <c r="H41" s="21" t="s">
        <v>379</v>
      </c>
      <c r="I41" s="4"/>
      <c r="J41" s="4"/>
      <c r="K41" s="4"/>
      <c r="L41" s="4"/>
      <c r="M41" s="4"/>
    </row>
    <row r="42" spans="1:13" s="2" customFormat="1">
      <c r="A42" s="15">
        <f>ROW(A42)-ROW($A$6)</f>
        <v>36</v>
      </c>
      <c r="B42" s="13" t="s">
        <v>46</v>
      </c>
      <c r="C42" s="15">
        <v>1</v>
      </c>
      <c r="D42" s="12" t="s">
        <v>140</v>
      </c>
      <c r="E42" s="13" t="s">
        <v>187</v>
      </c>
      <c r="F42" s="14" t="s">
        <v>266</v>
      </c>
      <c r="G42" s="12" t="s">
        <v>314</v>
      </c>
      <c r="H42" s="22" t="s">
        <v>377</v>
      </c>
      <c r="I42" s="4"/>
      <c r="J42" s="4"/>
      <c r="K42" s="4"/>
      <c r="L42" s="4"/>
      <c r="M42" s="4"/>
    </row>
    <row r="43" spans="1:13" s="2" customFormat="1">
      <c r="A43" s="8">
        <f>ROW(A43)-ROW($A$6)</f>
        <v>37</v>
      </c>
      <c r="B43" s="10" t="s">
        <v>47</v>
      </c>
      <c r="C43" s="8">
        <v>3</v>
      </c>
      <c r="D43" s="9" t="s">
        <v>141</v>
      </c>
      <c r="E43" s="10" t="s">
        <v>188</v>
      </c>
      <c r="F43" s="11" t="s">
        <v>266</v>
      </c>
      <c r="G43" s="9" t="s">
        <v>315</v>
      </c>
      <c r="H43" s="21" t="s">
        <v>377</v>
      </c>
      <c r="I43" s="4"/>
      <c r="J43" s="4"/>
      <c r="K43" s="4"/>
      <c r="L43" s="4"/>
      <c r="M43" s="4"/>
    </row>
    <row r="44" spans="1:13" s="2" customFormat="1">
      <c r="A44" s="15">
        <f>ROW(A44)-ROW($A$6)</f>
        <v>38</v>
      </c>
      <c r="B44" s="13" t="s">
        <v>48</v>
      </c>
      <c r="C44" s="15">
        <v>1</v>
      </c>
      <c r="D44" s="12" t="s">
        <v>142</v>
      </c>
      <c r="E44" s="13" t="s">
        <v>189</v>
      </c>
      <c r="F44" s="14" t="s">
        <v>266</v>
      </c>
      <c r="G44" s="12" t="s">
        <v>316</v>
      </c>
      <c r="H44" s="22" t="s">
        <v>377</v>
      </c>
      <c r="I44" s="4"/>
      <c r="J44" s="4"/>
      <c r="K44" s="4"/>
      <c r="L44" s="4"/>
      <c r="M44" s="4"/>
    </row>
    <row r="45" spans="1:13" s="2" customFormat="1" ht="26.4">
      <c r="A45" s="8">
        <f>ROW(A45)-ROW($A$6)</f>
        <v>39</v>
      </c>
      <c r="B45" s="10" t="s">
        <v>49</v>
      </c>
      <c r="C45" s="8">
        <v>4</v>
      </c>
      <c r="D45" s="9" t="s">
        <v>143</v>
      </c>
      <c r="E45" s="10" t="s">
        <v>190</v>
      </c>
      <c r="F45" s="11" t="s">
        <v>266</v>
      </c>
      <c r="G45" s="9" t="s">
        <v>317</v>
      </c>
      <c r="H45" s="21" t="s">
        <v>377</v>
      </c>
      <c r="I45" s="4"/>
      <c r="J45" s="4"/>
      <c r="K45" s="4"/>
      <c r="L45" s="4"/>
      <c r="M45" s="4"/>
    </row>
    <row r="46" spans="1:13" s="2" customFormat="1">
      <c r="A46" s="15">
        <f>ROW(A46)-ROW($A$6)</f>
        <v>40</v>
      </c>
      <c r="B46" s="13" t="s">
        <v>50</v>
      </c>
      <c r="C46" s="15">
        <v>1</v>
      </c>
      <c r="D46" s="12" t="s">
        <v>144</v>
      </c>
      <c r="E46" s="13" t="s">
        <v>191</v>
      </c>
      <c r="F46" s="14" t="s">
        <v>267</v>
      </c>
      <c r="G46" s="12" t="s">
        <v>318</v>
      </c>
      <c r="H46" s="22" t="s">
        <v>381</v>
      </c>
      <c r="I46" s="4"/>
      <c r="J46" s="4"/>
      <c r="K46" s="4"/>
      <c r="L46" s="4"/>
      <c r="M46" s="4"/>
    </row>
    <row r="47" spans="1:13" s="2" customFormat="1" ht="26.4">
      <c r="A47" s="8">
        <f>ROW(A47)-ROW($A$6)</f>
        <v>41</v>
      </c>
      <c r="B47" s="10" t="s">
        <v>51</v>
      </c>
      <c r="C47" s="8">
        <v>4</v>
      </c>
      <c r="D47" s="9" t="s">
        <v>145</v>
      </c>
      <c r="E47" s="10" t="s">
        <v>192</v>
      </c>
      <c r="F47" s="11" t="s">
        <v>266</v>
      </c>
      <c r="G47" s="9" t="s">
        <v>319</v>
      </c>
      <c r="H47" s="21" t="s">
        <v>377</v>
      </c>
      <c r="I47" s="4"/>
      <c r="J47" s="4"/>
      <c r="K47" s="4"/>
      <c r="L47" s="4"/>
      <c r="M47" s="4"/>
    </row>
    <row r="48" spans="1:13" s="2" customFormat="1">
      <c r="A48" s="15">
        <f>ROW(A48)-ROW($A$6)</f>
        <v>42</v>
      </c>
      <c r="B48" s="13" t="s">
        <v>52</v>
      </c>
      <c r="C48" s="15">
        <v>2</v>
      </c>
      <c r="D48" s="12">
        <v>499</v>
      </c>
      <c r="E48" s="13" t="s">
        <v>193</v>
      </c>
      <c r="F48" s="14" t="s">
        <v>266</v>
      </c>
      <c r="G48" s="12" t="s">
        <v>320</v>
      </c>
      <c r="H48" s="22" t="s">
        <v>377</v>
      </c>
      <c r="I48" s="4"/>
      <c r="J48" s="4"/>
      <c r="K48" s="4"/>
      <c r="L48" s="4"/>
      <c r="M48" s="4"/>
    </row>
    <row r="49" spans="1:13" s="2" customFormat="1" ht="132">
      <c r="A49" s="8">
        <f>ROW(A49)-ROW($A$6)</f>
        <v>43</v>
      </c>
      <c r="B49" s="10" t="s">
        <v>53</v>
      </c>
      <c r="C49" s="8">
        <v>22</v>
      </c>
      <c r="D49" s="9">
        <v>0</v>
      </c>
      <c r="E49" s="10" t="s">
        <v>194</v>
      </c>
      <c r="F49" s="11" t="s">
        <v>249</v>
      </c>
      <c r="G49" s="9" t="s">
        <v>321</v>
      </c>
      <c r="H49" s="21" t="s">
        <v>377</v>
      </c>
      <c r="I49" s="4"/>
      <c r="J49" s="4"/>
      <c r="K49" s="4"/>
      <c r="L49" s="4"/>
      <c r="M49" s="4"/>
    </row>
    <row r="50" spans="1:13" s="2" customFormat="1">
      <c r="A50" s="15">
        <f>ROW(A50)-ROW($A$6)</f>
        <v>44</v>
      </c>
      <c r="B50" s="13" t="s">
        <v>54</v>
      </c>
      <c r="C50" s="15">
        <v>1</v>
      </c>
      <c r="D50" s="12">
        <v>0.1</v>
      </c>
      <c r="E50" s="13" t="s">
        <v>195</v>
      </c>
      <c r="F50" s="14" t="s">
        <v>249</v>
      </c>
      <c r="G50" s="12" t="s">
        <v>322</v>
      </c>
      <c r="H50" s="22" t="s">
        <v>381</v>
      </c>
      <c r="I50" s="4"/>
      <c r="J50" s="4"/>
      <c r="K50" s="4"/>
      <c r="L50" s="4"/>
      <c r="M50" s="4"/>
    </row>
    <row r="51" spans="1:13" s="2" customFormat="1">
      <c r="A51" s="8">
        <f>ROW(A51)-ROW($A$6)</f>
        <v>45</v>
      </c>
      <c r="B51" s="10" t="s">
        <v>55</v>
      </c>
      <c r="C51" s="8">
        <v>2</v>
      </c>
      <c r="D51" s="9">
        <v>100</v>
      </c>
      <c r="E51" s="10" t="s">
        <v>196</v>
      </c>
      <c r="F51" s="11" t="s">
        <v>266</v>
      </c>
      <c r="G51" s="9" t="s">
        <v>323</v>
      </c>
      <c r="H51" s="21" t="s">
        <v>377</v>
      </c>
      <c r="I51" s="4"/>
      <c r="J51" s="4"/>
      <c r="K51" s="4"/>
      <c r="L51" s="4"/>
      <c r="M51" s="4"/>
    </row>
    <row r="52" spans="1:13" s="2" customFormat="1" ht="118.8">
      <c r="A52" s="15">
        <f>ROW(A52)-ROW($A$6)</f>
        <v>46</v>
      </c>
      <c r="B52" s="13" t="s">
        <v>56</v>
      </c>
      <c r="C52" s="15">
        <v>18</v>
      </c>
      <c r="D52" s="12"/>
      <c r="E52" s="13" t="s">
        <v>194</v>
      </c>
      <c r="F52" s="14" t="s">
        <v>249</v>
      </c>
      <c r="G52" s="12" t="s">
        <v>321</v>
      </c>
      <c r="H52" s="22" t="s">
        <v>377</v>
      </c>
      <c r="I52" s="4"/>
      <c r="J52" s="4"/>
      <c r="K52" s="4"/>
      <c r="L52" s="4"/>
      <c r="M52" s="4"/>
    </row>
    <row r="53" spans="1:13" s="2" customFormat="1" ht="39.6">
      <c r="A53" s="8">
        <f>ROW(A53)-ROW($A$6)</f>
        <v>47</v>
      </c>
      <c r="B53" s="10" t="s">
        <v>57</v>
      </c>
      <c r="C53" s="8">
        <v>6</v>
      </c>
      <c r="D53" s="9">
        <v>100</v>
      </c>
      <c r="E53" s="10" t="s">
        <v>197</v>
      </c>
      <c r="F53" s="11" t="s">
        <v>249</v>
      </c>
      <c r="G53" s="9" t="s">
        <v>324</v>
      </c>
      <c r="H53" s="21" t="s">
        <v>377</v>
      </c>
      <c r="I53" s="4"/>
      <c r="J53" s="4"/>
      <c r="K53" s="4"/>
      <c r="L53" s="4"/>
      <c r="M53" s="4"/>
    </row>
    <row r="54" spans="1:13" s="2" customFormat="1" ht="343.2">
      <c r="A54" s="15">
        <f>ROW(A54)-ROW($A$6)</f>
        <v>48</v>
      </c>
      <c r="B54" s="13" t="s">
        <v>58</v>
      </c>
      <c r="C54" s="15">
        <v>64</v>
      </c>
      <c r="D54" s="12">
        <v>100</v>
      </c>
      <c r="E54" s="13" t="s">
        <v>198</v>
      </c>
      <c r="F54" s="14" t="s">
        <v>267</v>
      </c>
      <c r="G54" s="12" t="s">
        <v>325</v>
      </c>
      <c r="H54" s="22" t="s">
        <v>377</v>
      </c>
      <c r="I54" s="4"/>
      <c r="J54" s="4"/>
      <c r="K54" s="4"/>
      <c r="L54" s="4"/>
      <c r="M54" s="4"/>
    </row>
    <row r="55" spans="1:13" s="2" customFormat="1">
      <c r="A55" s="8">
        <f>ROW(A55)-ROW($A$6)</f>
        <v>49</v>
      </c>
      <c r="B55" s="10" t="s">
        <v>59</v>
      </c>
      <c r="C55" s="8">
        <v>3</v>
      </c>
      <c r="D55" s="9">
        <v>49.9</v>
      </c>
      <c r="E55" s="10" t="s">
        <v>199</v>
      </c>
      <c r="F55" s="11" t="s">
        <v>266</v>
      </c>
      <c r="G55" s="9" t="s">
        <v>326</v>
      </c>
      <c r="H55" s="21" t="s">
        <v>381</v>
      </c>
      <c r="I55" s="4"/>
      <c r="J55" s="4"/>
      <c r="K55" s="4"/>
      <c r="L55" s="4"/>
      <c r="M55" s="4"/>
    </row>
    <row r="56" spans="1:13" s="2" customFormat="1">
      <c r="A56" s="15">
        <f>ROW(A56)-ROW($A$6)</f>
        <v>50</v>
      </c>
      <c r="B56" s="13" t="s">
        <v>60</v>
      </c>
      <c r="C56" s="15">
        <v>1</v>
      </c>
      <c r="D56" s="12" t="s">
        <v>146</v>
      </c>
      <c r="E56" s="13" t="s">
        <v>200</v>
      </c>
      <c r="F56" s="14" t="s">
        <v>266</v>
      </c>
      <c r="G56" s="12" t="s">
        <v>327</v>
      </c>
      <c r="H56" s="22" t="s">
        <v>377</v>
      </c>
      <c r="I56" s="4"/>
      <c r="J56" s="4"/>
      <c r="K56" s="4"/>
      <c r="L56" s="4"/>
      <c r="M56" s="4"/>
    </row>
    <row r="57" spans="1:13" s="2" customFormat="1">
      <c r="A57" s="8">
        <f>ROW(A57)-ROW($A$6)</f>
        <v>51</v>
      </c>
      <c r="B57" s="10" t="s">
        <v>61</v>
      </c>
      <c r="C57" s="8">
        <v>1</v>
      </c>
      <c r="D57" s="9" t="s">
        <v>147</v>
      </c>
      <c r="E57" s="10" t="s">
        <v>201</v>
      </c>
      <c r="F57" s="11" t="s">
        <v>266</v>
      </c>
      <c r="G57" s="9" t="s">
        <v>328</v>
      </c>
      <c r="H57" s="21" t="s">
        <v>377</v>
      </c>
      <c r="I57" s="4"/>
      <c r="J57" s="4"/>
      <c r="K57" s="4"/>
      <c r="L57" s="4"/>
      <c r="M57" s="4"/>
    </row>
    <row r="58" spans="1:13" s="2" customFormat="1">
      <c r="A58" s="15">
        <f>ROW(A58)-ROW($A$6)</f>
        <v>52</v>
      </c>
      <c r="B58" s="13" t="s">
        <v>62</v>
      </c>
      <c r="C58" s="15">
        <v>1</v>
      </c>
      <c r="D58" s="12">
        <v>100</v>
      </c>
      <c r="E58" s="13" t="s">
        <v>202</v>
      </c>
      <c r="F58" s="14" t="s">
        <v>266</v>
      </c>
      <c r="G58" s="12" t="s">
        <v>329</v>
      </c>
      <c r="H58" s="22" t="s">
        <v>377</v>
      </c>
      <c r="I58" s="4"/>
      <c r="J58" s="4"/>
      <c r="K58" s="4"/>
      <c r="L58" s="4"/>
      <c r="M58" s="4"/>
    </row>
    <row r="59" spans="1:13" s="2" customFormat="1">
      <c r="A59" s="8">
        <f>ROW(A59)-ROW($A$6)</f>
        <v>53</v>
      </c>
      <c r="B59" s="10" t="s">
        <v>63</v>
      </c>
      <c r="C59" s="8">
        <v>2</v>
      </c>
      <c r="D59" s="9"/>
      <c r="E59" s="10" t="s">
        <v>203</v>
      </c>
      <c r="F59" s="11" t="s">
        <v>249</v>
      </c>
      <c r="G59" s="9" t="s">
        <v>330</v>
      </c>
      <c r="H59" s="21" t="s">
        <v>381</v>
      </c>
      <c r="I59" s="4"/>
      <c r="J59" s="4"/>
      <c r="K59" s="4"/>
      <c r="L59" s="4"/>
      <c r="M59" s="4"/>
    </row>
    <row r="60" spans="1:13" s="2" customFormat="1" ht="66">
      <c r="A60" s="15">
        <f>ROW(A60)-ROW($A$6)</f>
        <v>54</v>
      </c>
      <c r="B60" s="13" t="s">
        <v>64</v>
      </c>
      <c r="C60" s="15">
        <v>9</v>
      </c>
      <c r="D60" s="12" t="s">
        <v>148</v>
      </c>
      <c r="E60" s="13" t="s">
        <v>204</v>
      </c>
      <c r="F60" s="14" t="s">
        <v>249</v>
      </c>
      <c r="G60" s="12" t="s">
        <v>331</v>
      </c>
      <c r="H60" s="22" t="s">
        <v>377</v>
      </c>
      <c r="I60" s="4"/>
      <c r="J60" s="4"/>
      <c r="K60" s="4"/>
      <c r="L60" s="4"/>
      <c r="M60" s="4"/>
    </row>
    <row r="61" spans="1:13" s="2" customFormat="1" ht="26.4">
      <c r="A61" s="8">
        <f>ROW(A61)-ROW($A$6)</f>
        <v>55</v>
      </c>
      <c r="B61" s="10" t="s">
        <v>65</v>
      </c>
      <c r="C61" s="8">
        <v>3</v>
      </c>
      <c r="D61" s="9">
        <v>0.02</v>
      </c>
      <c r="E61" s="10" t="s">
        <v>205</v>
      </c>
      <c r="F61" s="11" t="s">
        <v>268</v>
      </c>
      <c r="G61" s="9" t="s">
        <v>332</v>
      </c>
      <c r="H61" s="21" t="s">
        <v>381</v>
      </c>
      <c r="I61" s="4"/>
      <c r="J61" s="4"/>
      <c r="K61" s="4"/>
      <c r="L61" s="4"/>
      <c r="M61" s="4"/>
    </row>
    <row r="62" spans="1:13" s="2" customFormat="1" ht="26.4">
      <c r="A62" s="15">
        <f>ROW(A62)-ROW($A$6)</f>
        <v>56</v>
      </c>
      <c r="B62" s="13" t="s">
        <v>66</v>
      </c>
      <c r="C62" s="15">
        <v>3</v>
      </c>
      <c r="D62" s="12">
        <v>150</v>
      </c>
      <c r="E62" s="13" t="s">
        <v>206</v>
      </c>
      <c r="F62" s="14" t="s">
        <v>268</v>
      </c>
      <c r="G62" s="12" t="s">
        <v>333</v>
      </c>
      <c r="H62" s="22" t="s">
        <v>381</v>
      </c>
      <c r="I62" s="4"/>
      <c r="J62" s="4"/>
      <c r="K62" s="4"/>
      <c r="L62" s="4"/>
      <c r="M62" s="4"/>
    </row>
    <row r="63" spans="1:13" s="2" customFormat="1">
      <c r="A63" s="8">
        <f>ROW(A63)-ROW($A$6)</f>
        <v>57</v>
      </c>
      <c r="B63" s="10" t="s">
        <v>67</v>
      </c>
      <c r="C63" s="8">
        <v>2</v>
      </c>
      <c r="D63" s="9" t="s">
        <v>149</v>
      </c>
      <c r="E63" s="10" t="s">
        <v>207</v>
      </c>
      <c r="F63" s="11" t="s">
        <v>266</v>
      </c>
      <c r="G63" s="9" t="s">
        <v>334</v>
      </c>
      <c r="H63" s="21" t="s">
        <v>377</v>
      </c>
      <c r="I63" s="4"/>
      <c r="J63" s="4"/>
      <c r="K63" s="4"/>
      <c r="L63" s="4"/>
      <c r="M63" s="4"/>
    </row>
    <row r="64" spans="1:13" s="2" customFormat="1">
      <c r="A64" s="15">
        <f>ROW(A64)-ROW($A$6)</f>
        <v>58</v>
      </c>
      <c r="B64" s="13" t="s">
        <v>68</v>
      </c>
      <c r="C64" s="15">
        <v>1</v>
      </c>
      <c r="D64" s="12" t="s">
        <v>145</v>
      </c>
      <c r="E64" s="13" t="s">
        <v>192</v>
      </c>
      <c r="F64" s="14" t="s">
        <v>266</v>
      </c>
      <c r="G64" s="12" t="s">
        <v>335</v>
      </c>
      <c r="H64" s="22" t="s">
        <v>377</v>
      </c>
      <c r="I64" s="4"/>
      <c r="J64" s="4"/>
      <c r="K64" s="4"/>
      <c r="L64" s="4"/>
      <c r="M64" s="4"/>
    </row>
    <row r="65" spans="1:13" s="2" customFormat="1">
      <c r="A65" s="8">
        <f>ROW(A65)-ROW($A$6)</f>
        <v>59</v>
      </c>
      <c r="B65" s="10" t="s">
        <v>69</v>
      </c>
      <c r="C65" s="8">
        <v>1</v>
      </c>
      <c r="D65" s="9">
        <v>0</v>
      </c>
      <c r="E65" s="10" t="s">
        <v>208</v>
      </c>
      <c r="F65" s="11" t="s">
        <v>266</v>
      </c>
      <c r="G65" s="9" t="s">
        <v>336</v>
      </c>
      <c r="H65" s="21" t="s">
        <v>377</v>
      </c>
      <c r="I65" s="4"/>
      <c r="J65" s="4"/>
      <c r="K65" s="4"/>
      <c r="L65" s="4"/>
      <c r="M65" s="4"/>
    </row>
    <row r="66" spans="1:13" s="2" customFormat="1" ht="409.6">
      <c r="A66" s="15">
        <f>ROW(A66)-ROW($A$6)</f>
        <v>60</v>
      </c>
      <c r="B66" s="13" t="s">
        <v>70</v>
      </c>
      <c r="C66" s="15">
        <v>64</v>
      </c>
      <c r="D66" s="12">
        <v>0</v>
      </c>
      <c r="E66" s="13">
        <v>5106</v>
      </c>
      <c r="F66" s="14" t="s">
        <v>259</v>
      </c>
      <c r="G66" s="12" t="s">
        <v>337</v>
      </c>
      <c r="H66" s="22" t="s">
        <v>382</v>
      </c>
      <c r="I66" s="4"/>
      <c r="J66" s="4"/>
      <c r="K66" s="4"/>
      <c r="L66" s="4"/>
      <c r="M66" s="4"/>
    </row>
    <row r="67" spans="1:13" s="2" customFormat="1">
      <c r="A67" s="8">
        <f>ROW(A67)-ROW($A$6)</f>
        <v>61</v>
      </c>
      <c r="B67" s="10" t="s">
        <v>71</v>
      </c>
      <c r="C67" s="8">
        <v>1</v>
      </c>
      <c r="D67" s="9">
        <v>12</v>
      </c>
      <c r="E67" s="10" t="s">
        <v>209</v>
      </c>
      <c r="F67" s="11" t="s">
        <v>266</v>
      </c>
      <c r="G67" s="9" t="s">
        <v>338</v>
      </c>
      <c r="H67" s="21" t="s">
        <v>377</v>
      </c>
      <c r="I67" s="4"/>
      <c r="J67" s="4"/>
      <c r="K67" s="4"/>
      <c r="L67" s="4"/>
      <c r="M67" s="4"/>
    </row>
    <row r="68" spans="1:13" s="2" customFormat="1" ht="26.4">
      <c r="A68" s="15">
        <f>ROW(A68)-ROW($A$6)</f>
        <v>62</v>
      </c>
      <c r="B68" s="13" t="s">
        <v>72</v>
      </c>
      <c r="C68" s="15">
        <v>1</v>
      </c>
      <c r="D68" s="12" t="s">
        <v>150</v>
      </c>
      <c r="E68" s="13" t="s">
        <v>210</v>
      </c>
      <c r="F68" s="14" t="s">
        <v>269</v>
      </c>
      <c r="G68" s="12" t="s">
        <v>339</v>
      </c>
      <c r="H68" s="22" t="s">
        <v>393</v>
      </c>
      <c r="I68" s="4"/>
      <c r="J68" s="4"/>
      <c r="K68" s="4"/>
      <c r="L68" s="4"/>
      <c r="M68" s="4"/>
    </row>
    <row r="69" spans="1:13" s="2" customFormat="1">
      <c r="A69" s="8">
        <f>ROW(A69)-ROW($A$6)</f>
        <v>63</v>
      </c>
      <c r="B69" s="10" t="s">
        <v>73</v>
      </c>
      <c r="C69" s="8">
        <v>1</v>
      </c>
      <c r="D69" s="9" t="s">
        <v>151</v>
      </c>
      <c r="E69" s="10" t="s">
        <v>211</v>
      </c>
      <c r="F69" s="11" t="s">
        <v>266</v>
      </c>
      <c r="G69" s="9" t="s">
        <v>340</v>
      </c>
      <c r="H69" s="21" t="s">
        <v>379</v>
      </c>
      <c r="I69" s="4"/>
      <c r="J69" s="4"/>
      <c r="K69" s="4"/>
      <c r="L69" s="4"/>
      <c r="M69" s="4"/>
    </row>
    <row r="70" spans="1:13" s="2" customFormat="1">
      <c r="A70" s="15">
        <f>ROW(A70)-ROW($A$6)</f>
        <v>64</v>
      </c>
      <c r="B70" s="13" t="s">
        <v>74</v>
      </c>
      <c r="C70" s="15">
        <v>1</v>
      </c>
      <c r="D70" s="12"/>
      <c r="E70" s="13" t="s">
        <v>212</v>
      </c>
      <c r="F70" s="14" t="s">
        <v>249</v>
      </c>
      <c r="G70" s="12" t="s">
        <v>341</v>
      </c>
      <c r="H70" s="22" t="s">
        <v>394</v>
      </c>
      <c r="I70" s="4"/>
      <c r="J70" s="4"/>
      <c r="K70" s="4"/>
      <c r="L70" s="4"/>
      <c r="M70" s="4"/>
    </row>
    <row r="71" spans="1:13" s="2" customFormat="1" ht="26.4">
      <c r="A71" s="8">
        <f>ROW(A71)-ROW($A$6)</f>
        <v>65</v>
      </c>
      <c r="B71" s="10" t="s">
        <v>75</v>
      </c>
      <c r="C71" s="8">
        <v>3</v>
      </c>
      <c r="D71" s="9"/>
      <c r="E71" s="10" t="s">
        <v>213</v>
      </c>
      <c r="F71" s="11" t="s">
        <v>270</v>
      </c>
      <c r="G71" s="9" t="s">
        <v>342</v>
      </c>
      <c r="H71" s="21" t="s">
        <v>395</v>
      </c>
      <c r="I71" s="4"/>
      <c r="J71" s="4"/>
      <c r="K71" s="4"/>
      <c r="L71" s="4"/>
      <c r="M71" s="4"/>
    </row>
    <row r="72" spans="1:13" s="2" customFormat="1">
      <c r="A72" s="15">
        <f>ROW(A72)-ROW($A$6)</f>
        <v>66</v>
      </c>
      <c r="B72" s="13" t="s">
        <v>76</v>
      </c>
      <c r="C72" s="15">
        <v>1</v>
      </c>
      <c r="D72" s="12"/>
      <c r="E72" s="13" t="s">
        <v>214</v>
      </c>
      <c r="F72" s="14" t="s">
        <v>271</v>
      </c>
      <c r="G72" s="12" t="s">
        <v>343</v>
      </c>
      <c r="H72" s="22" t="s">
        <v>396</v>
      </c>
      <c r="I72" s="4"/>
      <c r="J72" s="4"/>
      <c r="K72" s="4"/>
      <c r="L72" s="4"/>
      <c r="M72" s="4"/>
    </row>
    <row r="73" spans="1:13" s="2" customFormat="1" ht="52.8">
      <c r="A73" s="8">
        <f>ROW(A73)-ROW($A$6)</f>
        <v>67</v>
      </c>
      <c r="B73" s="10" t="s">
        <v>77</v>
      </c>
      <c r="C73" s="8">
        <v>10</v>
      </c>
      <c r="D73" s="9"/>
      <c r="E73" s="10">
        <v>5000</v>
      </c>
      <c r="F73" s="11" t="s">
        <v>272</v>
      </c>
      <c r="G73" s="9" t="s">
        <v>344</v>
      </c>
      <c r="H73" s="21" t="s">
        <v>397</v>
      </c>
      <c r="I73" s="4"/>
      <c r="J73" s="4"/>
      <c r="K73" s="4"/>
      <c r="L73" s="4"/>
      <c r="M73" s="4"/>
    </row>
    <row r="74" spans="1:13" s="2" customFormat="1" ht="26.4">
      <c r="A74" s="15">
        <f>ROW(A74)-ROW($A$6)</f>
        <v>68</v>
      </c>
      <c r="B74" s="13" t="s">
        <v>78</v>
      </c>
      <c r="C74" s="15">
        <v>4</v>
      </c>
      <c r="D74" s="12"/>
      <c r="E74" s="13">
        <v>5001</v>
      </c>
      <c r="F74" s="14" t="s">
        <v>272</v>
      </c>
      <c r="G74" s="12" t="s">
        <v>345</v>
      </c>
      <c r="H74" s="22" t="s">
        <v>398</v>
      </c>
      <c r="I74" s="4"/>
      <c r="J74" s="4"/>
      <c r="K74" s="4"/>
      <c r="L74" s="4"/>
      <c r="M74" s="4"/>
    </row>
    <row r="75" spans="1:13" s="2" customFormat="1" ht="39.6">
      <c r="A75" s="8">
        <f>ROW(A75)-ROW($A$6)</f>
        <v>69</v>
      </c>
      <c r="B75" s="10" t="s">
        <v>79</v>
      </c>
      <c r="C75" s="8">
        <v>6</v>
      </c>
      <c r="D75" s="9"/>
      <c r="E75" s="10">
        <v>5004</v>
      </c>
      <c r="F75" s="11" t="s">
        <v>272</v>
      </c>
      <c r="G75" s="9" t="s">
        <v>346</v>
      </c>
      <c r="H75" s="21" t="s">
        <v>399</v>
      </c>
      <c r="I75" s="4"/>
      <c r="J75" s="4"/>
      <c r="K75" s="4"/>
      <c r="L75" s="4"/>
      <c r="M75" s="4"/>
    </row>
    <row r="76" spans="1:13" s="2" customFormat="1">
      <c r="A76" s="15">
        <f>ROW(A76)-ROW($A$6)</f>
        <v>70</v>
      </c>
      <c r="B76" s="13" t="s">
        <v>80</v>
      </c>
      <c r="C76" s="15">
        <v>1</v>
      </c>
      <c r="D76" s="12"/>
      <c r="E76" s="13" t="s">
        <v>215</v>
      </c>
      <c r="F76" s="14" t="s">
        <v>273</v>
      </c>
      <c r="G76" s="12" t="s">
        <v>215</v>
      </c>
      <c r="H76" s="22" t="s">
        <v>400</v>
      </c>
      <c r="I76" s="4"/>
      <c r="J76" s="4"/>
      <c r="K76" s="4"/>
      <c r="L76" s="4"/>
      <c r="M76" s="4"/>
    </row>
    <row r="77" spans="1:13" s="2" customFormat="1" ht="39.6">
      <c r="A77" s="8">
        <f>ROW(A77)-ROW($A$6)</f>
        <v>71</v>
      </c>
      <c r="B77" s="10" t="s">
        <v>81</v>
      </c>
      <c r="C77" s="8">
        <v>3</v>
      </c>
      <c r="D77" s="9"/>
      <c r="E77" s="10" t="s">
        <v>216</v>
      </c>
      <c r="F77" s="11" t="s">
        <v>273</v>
      </c>
      <c r="G77" s="9" t="s">
        <v>347</v>
      </c>
      <c r="H77" s="21" t="s">
        <v>401</v>
      </c>
      <c r="I77" s="4"/>
      <c r="J77" s="4"/>
      <c r="K77" s="4"/>
      <c r="L77" s="4"/>
      <c r="M77" s="4"/>
    </row>
    <row r="78" spans="1:13" s="2" customFormat="1" ht="26.4">
      <c r="A78" s="15">
        <f>ROW(A78)-ROW($A$6)</f>
        <v>72</v>
      </c>
      <c r="B78" s="13" t="s">
        <v>82</v>
      </c>
      <c r="C78" s="15">
        <v>1</v>
      </c>
      <c r="D78" s="12"/>
      <c r="E78" s="13"/>
      <c r="F78" s="14" t="s">
        <v>273</v>
      </c>
      <c r="G78" s="12" t="s">
        <v>348</v>
      </c>
      <c r="H78" s="22" t="s">
        <v>402</v>
      </c>
      <c r="I78" s="4"/>
      <c r="J78" s="4"/>
      <c r="K78" s="4"/>
      <c r="L78" s="4"/>
      <c r="M78" s="4"/>
    </row>
    <row r="79" spans="1:13" s="2" customFormat="1" ht="26.4">
      <c r="A79" s="8">
        <f>ROW(A79)-ROW($A$6)</f>
        <v>73</v>
      </c>
      <c r="B79" s="10" t="s">
        <v>83</v>
      </c>
      <c r="C79" s="8">
        <v>1</v>
      </c>
      <c r="D79" s="9"/>
      <c r="E79" s="10" t="s">
        <v>217</v>
      </c>
      <c r="F79" s="11" t="s">
        <v>273</v>
      </c>
      <c r="G79" s="9" t="s">
        <v>349</v>
      </c>
      <c r="H79" s="21" t="s">
        <v>403</v>
      </c>
      <c r="I79" s="4"/>
      <c r="J79" s="4"/>
      <c r="K79" s="4"/>
      <c r="L79" s="4"/>
      <c r="M79" s="4"/>
    </row>
    <row r="80" spans="1:13" s="2" customFormat="1" ht="26.4">
      <c r="A80" s="15">
        <f>ROW(A80)-ROW($A$6)</f>
        <v>74</v>
      </c>
      <c r="B80" s="13" t="s">
        <v>84</v>
      </c>
      <c r="C80" s="15">
        <v>1</v>
      </c>
      <c r="D80" s="12"/>
      <c r="E80" s="13" t="s">
        <v>218</v>
      </c>
      <c r="F80" s="14" t="s">
        <v>274</v>
      </c>
      <c r="G80" s="12" t="s">
        <v>350</v>
      </c>
      <c r="H80" s="22" t="s">
        <v>404</v>
      </c>
      <c r="I80" s="4"/>
      <c r="J80" s="4"/>
      <c r="K80" s="4"/>
      <c r="L80" s="4"/>
      <c r="M80" s="4"/>
    </row>
    <row r="81" spans="1:13" s="2" customFormat="1" ht="26.4">
      <c r="A81" s="8">
        <f>ROW(A81)-ROW($A$6)</f>
        <v>75</v>
      </c>
      <c r="B81" s="10" t="s">
        <v>85</v>
      </c>
      <c r="C81" s="8">
        <v>1</v>
      </c>
      <c r="D81" s="9"/>
      <c r="E81" s="10" t="s">
        <v>219</v>
      </c>
      <c r="F81" s="11" t="s">
        <v>273</v>
      </c>
      <c r="G81" s="9" t="s">
        <v>351</v>
      </c>
      <c r="H81" s="21" t="s">
        <v>405</v>
      </c>
      <c r="I81" s="4"/>
      <c r="J81" s="4"/>
      <c r="K81" s="4"/>
      <c r="L81" s="4"/>
      <c r="M81" s="4"/>
    </row>
    <row r="82" spans="1:13" s="2" customFormat="1">
      <c r="A82" s="15">
        <f>ROW(A82)-ROW($A$6)</f>
        <v>76</v>
      </c>
      <c r="B82" s="13" t="s">
        <v>86</v>
      </c>
      <c r="C82" s="15">
        <v>1</v>
      </c>
      <c r="D82" s="12"/>
      <c r="E82" s="13" t="s">
        <v>220</v>
      </c>
      <c r="F82" s="14" t="s">
        <v>275</v>
      </c>
      <c r="G82" s="12" t="s">
        <v>352</v>
      </c>
      <c r="H82" s="22" t="s">
        <v>406</v>
      </c>
      <c r="I82" s="4"/>
      <c r="J82" s="4"/>
      <c r="K82" s="4"/>
      <c r="L82" s="4"/>
      <c r="M82" s="4"/>
    </row>
    <row r="83" spans="1:13" s="2" customFormat="1" ht="39.6">
      <c r="A83" s="8">
        <f>ROW(A83)-ROW($A$6)</f>
        <v>77</v>
      </c>
      <c r="B83" s="10" t="s">
        <v>87</v>
      </c>
      <c r="C83" s="8">
        <v>1</v>
      </c>
      <c r="D83" s="9"/>
      <c r="E83" s="10" t="s">
        <v>221</v>
      </c>
      <c r="F83" s="11" t="s">
        <v>273</v>
      </c>
      <c r="G83" s="9" t="s">
        <v>353</v>
      </c>
      <c r="H83" s="21" t="s">
        <v>407</v>
      </c>
      <c r="I83" s="4"/>
      <c r="J83" s="4"/>
      <c r="K83" s="4"/>
      <c r="L83" s="4"/>
      <c r="M83" s="4"/>
    </row>
    <row r="84" spans="1:13" s="2" customFormat="1">
      <c r="A84" s="15">
        <f>ROW(A84)-ROW($A$6)</f>
        <v>78</v>
      </c>
      <c r="B84" s="13" t="s">
        <v>88</v>
      </c>
      <c r="C84" s="15">
        <v>2</v>
      </c>
      <c r="D84" s="12"/>
      <c r="E84" s="13" t="s">
        <v>222</v>
      </c>
      <c r="F84" s="14" t="s">
        <v>273</v>
      </c>
      <c r="G84" s="12" t="s">
        <v>354</v>
      </c>
      <c r="H84" s="22" t="s">
        <v>408</v>
      </c>
      <c r="I84" s="4"/>
      <c r="J84" s="4"/>
      <c r="K84" s="4"/>
      <c r="L84" s="4"/>
      <c r="M84" s="4"/>
    </row>
    <row r="85" spans="1:13" s="2" customFormat="1" ht="26.4">
      <c r="A85" s="8">
        <f>ROW(A85)-ROW($A$6)</f>
        <v>79</v>
      </c>
      <c r="B85" s="10" t="s">
        <v>89</v>
      </c>
      <c r="C85" s="8">
        <v>1</v>
      </c>
      <c r="D85" s="9"/>
      <c r="E85" s="10" t="s">
        <v>223</v>
      </c>
      <c r="F85" s="11" t="s">
        <v>273</v>
      </c>
      <c r="G85" s="9" t="s">
        <v>355</v>
      </c>
      <c r="H85" s="21" t="s">
        <v>409</v>
      </c>
      <c r="I85" s="4"/>
      <c r="J85" s="4"/>
      <c r="K85" s="4"/>
      <c r="L85" s="4"/>
      <c r="M85" s="4"/>
    </row>
    <row r="86" spans="1:13" s="2" customFormat="1">
      <c r="A86" s="15">
        <f>ROW(A86)-ROW($A$6)</f>
        <v>80</v>
      </c>
      <c r="B86" s="13" t="s">
        <v>90</v>
      </c>
      <c r="C86" s="15">
        <v>1</v>
      </c>
      <c r="D86" s="12"/>
      <c r="E86" s="13"/>
      <c r="F86" s="14" t="s">
        <v>273</v>
      </c>
      <c r="G86" s="12" t="s">
        <v>356</v>
      </c>
      <c r="H86" s="22" t="s">
        <v>408</v>
      </c>
      <c r="I86" s="4"/>
      <c r="J86" s="4"/>
      <c r="K86" s="4"/>
      <c r="L86" s="4"/>
      <c r="M86" s="4"/>
    </row>
    <row r="87" spans="1:13" s="2" customFormat="1">
      <c r="A87" s="8">
        <f>ROW(A87)-ROW($A$6)</f>
        <v>81</v>
      </c>
      <c r="B87" s="10" t="s">
        <v>91</v>
      </c>
      <c r="C87" s="8">
        <v>1</v>
      </c>
      <c r="D87" s="9"/>
      <c r="E87" s="10" t="s">
        <v>224</v>
      </c>
      <c r="F87" s="11" t="s">
        <v>273</v>
      </c>
      <c r="G87" s="9" t="s">
        <v>357</v>
      </c>
      <c r="H87" s="21" t="s">
        <v>410</v>
      </c>
      <c r="I87" s="4"/>
      <c r="J87" s="4"/>
      <c r="K87" s="4"/>
      <c r="L87" s="4"/>
      <c r="M87" s="4"/>
    </row>
    <row r="88" spans="1:13" s="2" customFormat="1" ht="26.4">
      <c r="A88" s="15">
        <f>ROW(A88)-ROW($A$6)</f>
        <v>82</v>
      </c>
      <c r="B88" s="13" t="s">
        <v>92</v>
      </c>
      <c r="C88" s="15">
        <v>1</v>
      </c>
      <c r="D88" s="12"/>
      <c r="E88" s="13" t="s">
        <v>225</v>
      </c>
      <c r="F88" s="14" t="s">
        <v>273</v>
      </c>
      <c r="G88" s="12" t="s">
        <v>358</v>
      </c>
      <c r="H88" s="22" t="s">
        <v>411</v>
      </c>
      <c r="I88" s="4"/>
      <c r="J88" s="4"/>
      <c r="K88" s="4"/>
      <c r="L88" s="4"/>
      <c r="M88" s="4"/>
    </row>
    <row r="89" spans="1:13" s="2" customFormat="1" ht="26.4">
      <c r="A89" s="8">
        <f>ROW(A89)-ROW($A$6)</f>
        <v>83</v>
      </c>
      <c r="B89" s="10" t="s">
        <v>93</v>
      </c>
      <c r="C89" s="8">
        <v>1</v>
      </c>
      <c r="D89" s="9"/>
      <c r="E89" s="10" t="s">
        <v>226</v>
      </c>
      <c r="F89" s="11" t="s">
        <v>273</v>
      </c>
      <c r="G89" s="9" t="s">
        <v>359</v>
      </c>
      <c r="H89" s="21" t="s">
        <v>412</v>
      </c>
      <c r="I89" s="4"/>
      <c r="J89" s="4"/>
      <c r="K89" s="4"/>
      <c r="L89" s="4"/>
      <c r="M89" s="4"/>
    </row>
    <row r="90" spans="1:13" s="2" customFormat="1">
      <c r="A90" s="15">
        <f>ROW(A90)-ROW($A$6)</f>
        <v>84</v>
      </c>
      <c r="B90" s="13" t="s">
        <v>94</v>
      </c>
      <c r="C90" s="15">
        <v>1</v>
      </c>
      <c r="D90" s="12"/>
      <c r="E90" s="13" t="s">
        <v>227</v>
      </c>
      <c r="F90" s="14" t="s">
        <v>273</v>
      </c>
      <c r="G90" s="12" t="s">
        <v>360</v>
      </c>
      <c r="H90" s="22" t="s">
        <v>413</v>
      </c>
      <c r="I90" s="4"/>
      <c r="J90" s="4"/>
      <c r="K90" s="4"/>
      <c r="L90" s="4"/>
      <c r="M90" s="4"/>
    </row>
    <row r="91" spans="1:13" s="2" customFormat="1" ht="26.4">
      <c r="A91" s="8">
        <f>ROW(A91)-ROW($A$6)</f>
        <v>85</v>
      </c>
      <c r="B91" s="10" t="s">
        <v>95</v>
      </c>
      <c r="C91" s="8">
        <v>1</v>
      </c>
      <c r="D91" s="9"/>
      <c r="E91" s="10" t="s">
        <v>228</v>
      </c>
      <c r="F91" s="11" t="s">
        <v>276</v>
      </c>
      <c r="G91" s="9" t="s">
        <v>361</v>
      </c>
      <c r="H91" s="21" t="s">
        <v>414</v>
      </c>
      <c r="I91" s="4"/>
      <c r="J91" s="4"/>
      <c r="K91" s="4"/>
      <c r="L91" s="4"/>
      <c r="M91" s="4"/>
    </row>
    <row r="92" spans="1:13" s="2" customFormat="1">
      <c r="A92" s="15">
        <f>ROW(A92)-ROW($A$6)</f>
        <v>86</v>
      </c>
      <c r="B92" s="13" t="s">
        <v>96</v>
      </c>
      <c r="C92" s="15">
        <v>1</v>
      </c>
      <c r="D92" s="12"/>
      <c r="E92" s="13" t="s">
        <v>229</v>
      </c>
      <c r="F92" s="14" t="s">
        <v>277</v>
      </c>
      <c r="G92" s="12" t="s">
        <v>362</v>
      </c>
      <c r="H92" s="22" t="s">
        <v>415</v>
      </c>
      <c r="I92" s="4"/>
      <c r="J92" s="4"/>
      <c r="K92" s="4"/>
      <c r="L92" s="4"/>
      <c r="M92" s="4"/>
    </row>
    <row r="93" spans="1:13" s="2" customFormat="1" ht="26.4">
      <c r="A93" s="8">
        <f>ROW(A93)-ROW($A$6)</f>
        <v>87</v>
      </c>
      <c r="B93" s="10" t="s">
        <v>97</v>
      </c>
      <c r="C93" s="8">
        <v>0</v>
      </c>
      <c r="D93" s="9" t="s">
        <v>130</v>
      </c>
      <c r="E93" s="10" t="s">
        <v>165</v>
      </c>
      <c r="F93" s="11" t="s">
        <v>252</v>
      </c>
      <c r="G93" s="9" t="s">
        <v>290</v>
      </c>
      <c r="H93" s="21" t="s">
        <v>377</v>
      </c>
      <c r="I93" s="4"/>
      <c r="J93" s="4"/>
      <c r="K93" s="4"/>
      <c r="L93" s="4"/>
      <c r="M93" s="4"/>
    </row>
    <row r="94" spans="1:13" s="2" customFormat="1" ht="158.4">
      <c r="A94" s="15">
        <f>ROW(A94)-ROW($A$6)</f>
        <v>88</v>
      </c>
      <c r="B94" s="13" t="s">
        <v>98</v>
      </c>
      <c r="C94" s="15">
        <v>0</v>
      </c>
      <c r="D94" s="12" t="s">
        <v>124</v>
      </c>
      <c r="E94" s="13" t="s">
        <v>160</v>
      </c>
      <c r="F94" s="14" t="s">
        <v>250</v>
      </c>
      <c r="G94" s="12" t="s">
        <v>281</v>
      </c>
      <c r="H94" s="22" t="s">
        <v>377</v>
      </c>
      <c r="I94" s="4"/>
      <c r="J94" s="4"/>
      <c r="K94" s="4"/>
      <c r="L94" s="4"/>
      <c r="M94" s="4"/>
    </row>
    <row r="95" spans="1:13" s="2" customFormat="1">
      <c r="A95" s="8">
        <f>ROW(A95)-ROW($A$6)</f>
        <v>89</v>
      </c>
      <c r="B95" s="10" t="s">
        <v>99</v>
      </c>
      <c r="C95" s="8">
        <v>0</v>
      </c>
      <c r="D95" s="9" t="s">
        <v>152</v>
      </c>
      <c r="E95" s="10" t="s">
        <v>230</v>
      </c>
      <c r="F95" s="11" t="s">
        <v>247</v>
      </c>
      <c r="G95" s="9" t="s">
        <v>363</v>
      </c>
      <c r="H95" s="21" t="s">
        <v>377</v>
      </c>
      <c r="I95" s="4"/>
      <c r="J95" s="4"/>
      <c r="K95" s="4"/>
      <c r="L95" s="4"/>
      <c r="M95" s="4"/>
    </row>
    <row r="96" spans="1:13" s="2" customFormat="1" ht="26.4">
      <c r="A96" s="15">
        <f>ROW(A96)-ROW($A$6)</f>
        <v>90</v>
      </c>
      <c r="B96" s="13" t="s">
        <v>100</v>
      </c>
      <c r="C96" s="15">
        <v>0</v>
      </c>
      <c r="D96" s="12" t="s">
        <v>127</v>
      </c>
      <c r="E96" s="13" t="s">
        <v>161</v>
      </c>
      <c r="F96" s="14" t="s">
        <v>250</v>
      </c>
      <c r="G96" s="12" t="s">
        <v>286</v>
      </c>
      <c r="H96" s="22" t="s">
        <v>381</v>
      </c>
      <c r="I96" s="4"/>
      <c r="J96" s="4"/>
      <c r="K96" s="4"/>
      <c r="L96" s="4"/>
      <c r="M96" s="4"/>
    </row>
    <row r="97" spans="1:13" s="2" customFormat="1" ht="26.4">
      <c r="A97" s="8">
        <f>ROW(A97)-ROW($A$6)</f>
        <v>91</v>
      </c>
      <c r="B97" s="10" t="s">
        <v>101</v>
      </c>
      <c r="C97" s="8">
        <v>0</v>
      </c>
      <c r="D97" s="9"/>
      <c r="E97" s="10" t="s">
        <v>231</v>
      </c>
      <c r="F97" s="11" t="s">
        <v>264</v>
      </c>
      <c r="G97" s="9" t="s">
        <v>364</v>
      </c>
      <c r="H97" s="21" t="s">
        <v>416</v>
      </c>
      <c r="I97" s="4"/>
      <c r="J97" s="4"/>
      <c r="K97" s="4"/>
      <c r="L97" s="4"/>
      <c r="M97" s="4"/>
    </row>
    <row r="98" spans="1:13" s="2" customFormat="1" ht="52.8">
      <c r="A98" s="15">
        <f>ROW(A98)-ROW($A$6)</f>
        <v>92</v>
      </c>
      <c r="B98" s="13" t="s">
        <v>102</v>
      </c>
      <c r="C98" s="15">
        <v>0</v>
      </c>
      <c r="D98" s="12">
        <v>121</v>
      </c>
      <c r="E98" s="13" t="s">
        <v>232</v>
      </c>
      <c r="F98" s="14" t="s">
        <v>266</v>
      </c>
      <c r="G98" s="12" t="s">
        <v>365</v>
      </c>
      <c r="H98" s="22" t="s">
        <v>377</v>
      </c>
      <c r="I98" s="4"/>
      <c r="J98" s="4"/>
      <c r="K98" s="4"/>
      <c r="L98" s="4"/>
      <c r="M98" s="4"/>
    </row>
    <row r="99" spans="1:13" s="2" customFormat="1" ht="118.8">
      <c r="A99" s="8">
        <f>ROW(A99)-ROW($A$6)</f>
        <v>93</v>
      </c>
      <c r="B99" s="10" t="s">
        <v>103</v>
      </c>
      <c r="C99" s="8">
        <v>0</v>
      </c>
      <c r="D99" s="9"/>
      <c r="E99" s="10" t="s">
        <v>194</v>
      </c>
      <c r="F99" s="11" t="s">
        <v>249</v>
      </c>
      <c r="G99" s="9" t="s">
        <v>321</v>
      </c>
      <c r="H99" s="21" t="s">
        <v>377</v>
      </c>
      <c r="I99" s="4"/>
      <c r="J99" s="4"/>
      <c r="K99" s="4"/>
      <c r="L99" s="4"/>
      <c r="M99" s="4"/>
    </row>
    <row r="100" spans="1:13" s="2" customFormat="1" ht="26.4">
      <c r="A100" s="15">
        <f>ROW(A100)-ROW($A$6)</f>
        <v>94</v>
      </c>
      <c r="B100" s="13" t="s">
        <v>104</v>
      </c>
      <c r="C100" s="15">
        <v>0</v>
      </c>
      <c r="D100" s="12">
        <v>169</v>
      </c>
      <c r="E100" s="13" t="s">
        <v>233</v>
      </c>
      <c r="F100" s="14" t="s">
        <v>266</v>
      </c>
      <c r="G100" s="12" t="s">
        <v>366</v>
      </c>
      <c r="H100" s="22" t="s">
        <v>377</v>
      </c>
      <c r="I100" s="4"/>
      <c r="J100" s="4"/>
      <c r="K100" s="4"/>
      <c r="L100" s="4"/>
      <c r="M100" s="4"/>
    </row>
    <row r="101" spans="1:13" s="2" customFormat="1" ht="26.4">
      <c r="A101" s="8">
        <f>ROW(A101)-ROW($A$6)</f>
        <v>95</v>
      </c>
      <c r="B101" s="10" t="s">
        <v>105</v>
      </c>
      <c r="C101" s="8">
        <v>0</v>
      </c>
      <c r="D101" s="9">
        <v>100</v>
      </c>
      <c r="E101" s="10" t="s">
        <v>202</v>
      </c>
      <c r="F101" s="11" t="s">
        <v>266</v>
      </c>
      <c r="G101" s="9" t="s">
        <v>329</v>
      </c>
      <c r="H101" s="21" t="s">
        <v>377</v>
      </c>
      <c r="I101" s="4"/>
      <c r="J101" s="4"/>
      <c r="K101" s="4"/>
      <c r="L101" s="4"/>
      <c r="M101" s="4"/>
    </row>
    <row r="102" spans="1:13" s="2" customFormat="1" ht="132">
      <c r="A102" s="15">
        <f>ROW(A102)-ROW($A$6)</f>
        <v>96</v>
      </c>
      <c r="B102" s="13" t="s">
        <v>106</v>
      </c>
      <c r="C102" s="15">
        <v>0</v>
      </c>
      <c r="D102" s="12">
        <v>0</v>
      </c>
      <c r="E102" s="13" t="s">
        <v>194</v>
      </c>
      <c r="F102" s="14" t="s">
        <v>249</v>
      </c>
      <c r="G102" s="12" t="s">
        <v>321</v>
      </c>
      <c r="H102" s="22" t="s">
        <v>377</v>
      </c>
      <c r="I102" s="4"/>
      <c r="J102" s="4"/>
      <c r="K102" s="4"/>
      <c r="L102" s="4"/>
      <c r="M102" s="4"/>
    </row>
    <row r="103" spans="1:13" s="2" customFormat="1" ht="211.2">
      <c r="A103" s="8">
        <f>ROW(A103)-ROW($A$6)</f>
        <v>97</v>
      </c>
      <c r="B103" s="10" t="s">
        <v>107</v>
      </c>
      <c r="C103" s="8">
        <v>0</v>
      </c>
      <c r="D103" s="9" t="s">
        <v>153</v>
      </c>
      <c r="E103" s="10" t="s">
        <v>234</v>
      </c>
      <c r="F103" s="11" t="s">
        <v>266</v>
      </c>
      <c r="G103" s="9" t="s">
        <v>367</v>
      </c>
      <c r="H103" s="21" t="s">
        <v>417</v>
      </c>
      <c r="I103" s="4"/>
      <c r="J103" s="4"/>
      <c r="K103" s="4"/>
      <c r="L103" s="4"/>
      <c r="M103" s="4"/>
    </row>
    <row r="104" spans="1:13" s="2" customFormat="1" ht="26.4">
      <c r="A104" s="15">
        <f>ROW(A104)-ROW($A$6)</f>
        <v>98</v>
      </c>
      <c r="B104" s="13" t="s">
        <v>108</v>
      </c>
      <c r="C104" s="15">
        <v>0</v>
      </c>
      <c r="D104" s="12">
        <v>100</v>
      </c>
      <c r="E104" s="13" t="s">
        <v>196</v>
      </c>
      <c r="F104" s="14" t="s">
        <v>266</v>
      </c>
      <c r="G104" s="12" t="s">
        <v>323</v>
      </c>
      <c r="H104" s="22" t="s">
        <v>377</v>
      </c>
      <c r="I104" s="4"/>
      <c r="J104" s="4"/>
      <c r="K104" s="4"/>
      <c r="L104" s="4"/>
      <c r="M104" s="4"/>
    </row>
    <row r="105" spans="1:13" s="2" customFormat="1">
      <c r="A105" s="8">
        <f>ROW(A105)-ROW($A$6)</f>
        <v>99</v>
      </c>
      <c r="B105" s="10" t="s">
        <v>109</v>
      </c>
      <c r="C105" s="8">
        <v>0</v>
      </c>
      <c r="D105" s="9">
        <v>100</v>
      </c>
      <c r="E105" s="10" t="s">
        <v>197</v>
      </c>
      <c r="F105" s="11" t="s">
        <v>249</v>
      </c>
      <c r="G105" s="9" t="s">
        <v>324</v>
      </c>
      <c r="H105" s="21" t="s">
        <v>377</v>
      </c>
      <c r="I105" s="4"/>
      <c r="J105" s="4"/>
      <c r="K105" s="4"/>
      <c r="L105" s="4"/>
      <c r="M105" s="4"/>
    </row>
    <row r="106" spans="1:13" s="2" customFormat="1">
      <c r="A106" s="15">
        <f>ROW(A106)-ROW($A$6)</f>
        <v>100</v>
      </c>
      <c r="B106" s="13" t="s">
        <v>110</v>
      </c>
      <c r="C106" s="15">
        <v>0</v>
      </c>
      <c r="D106" s="12" t="s">
        <v>148</v>
      </c>
      <c r="E106" s="13" t="s">
        <v>204</v>
      </c>
      <c r="F106" s="14" t="s">
        <v>249</v>
      </c>
      <c r="G106" s="12" t="s">
        <v>331</v>
      </c>
      <c r="H106" s="22" t="s">
        <v>377</v>
      </c>
      <c r="I106" s="4"/>
      <c r="J106" s="4"/>
      <c r="K106" s="4"/>
      <c r="L106" s="4"/>
      <c r="M106" s="4"/>
    </row>
    <row r="107" spans="1:13" s="2" customFormat="1">
      <c r="A107" s="8">
        <f>ROW(A107)-ROW($A$6)</f>
        <v>101</v>
      </c>
      <c r="B107" s="10" t="s">
        <v>111</v>
      </c>
      <c r="C107" s="8">
        <v>0</v>
      </c>
      <c r="D107" s="9"/>
      <c r="E107" s="10" t="s">
        <v>212</v>
      </c>
      <c r="F107" s="11" t="s">
        <v>249</v>
      </c>
      <c r="G107" s="9" t="s">
        <v>341</v>
      </c>
      <c r="H107" s="21" t="s">
        <v>394</v>
      </c>
      <c r="I107" s="4"/>
      <c r="J107" s="4"/>
      <c r="K107" s="4"/>
      <c r="L107" s="4"/>
      <c r="M107" s="4"/>
    </row>
    <row r="108" spans="1:13" s="2" customFormat="1">
      <c r="A108" s="15">
        <f>ROW(A108)-ROW($A$6)</f>
        <v>102</v>
      </c>
      <c r="B108" s="13" t="s">
        <v>112</v>
      </c>
      <c r="C108" s="15">
        <v>0</v>
      </c>
      <c r="D108" s="12"/>
      <c r="E108" s="13" t="s">
        <v>235</v>
      </c>
      <c r="F108" s="14" t="s">
        <v>273</v>
      </c>
      <c r="G108" s="12" t="s">
        <v>368</v>
      </c>
      <c r="H108" s="22" t="s">
        <v>418</v>
      </c>
      <c r="I108" s="4"/>
      <c r="J108" s="4"/>
      <c r="K108" s="4"/>
      <c r="L108" s="4"/>
      <c r="M108" s="4"/>
    </row>
    <row r="109" spans="1:13" s="2" customFormat="1" ht="26.4">
      <c r="A109" s="8">
        <f>ROW(A109)-ROW($A$6)</f>
        <v>103</v>
      </c>
      <c r="B109" s="10" t="s">
        <v>113</v>
      </c>
      <c r="C109" s="8">
        <v>0</v>
      </c>
      <c r="D109" s="9"/>
      <c r="E109" s="10" t="s">
        <v>236</v>
      </c>
      <c r="F109" s="11" t="s">
        <v>273</v>
      </c>
      <c r="G109" s="9" t="s">
        <v>369</v>
      </c>
      <c r="H109" s="21" t="s">
        <v>419</v>
      </c>
      <c r="I109" s="4"/>
      <c r="J109" s="4"/>
      <c r="K109" s="4"/>
      <c r="L109" s="4"/>
      <c r="M109" s="4"/>
    </row>
    <row r="110" spans="1:13" s="2" customFormat="1" ht="26.4">
      <c r="A110" s="15">
        <f>ROW(A110)-ROW($A$6)</f>
        <v>104</v>
      </c>
      <c r="B110" s="13" t="s">
        <v>114</v>
      </c>
      <c r="C110" s="15">
        <v>0</v>
      </c>
      <c r="D110" s="12"/>
      <c r="E110" s="13" t="s">
        <v>237</v>
      </c>
      <c r="F110" s="14" t="s">
        <v>273</v>
      </c>
      <c r="G110" s="12" t="s">
        <v>370</v>
      </c>
      <c r="H110" s="22" t="s">
        <v>420</v>
      </c>
      <c r="I110" s="4"/>
      <c r="J110" s="4"/>
      <c r="K110" s="4"/>
      <c r="L110" s="4"/>
      <c r="M110" s="4"/>
    </row>
    <row r="111" spans="1:13" s="2" customFormat="1" ht="26.4">
      <c r="A111" s="8">
        <f>ROW(A111)-ROW($A$6)</f>
        <v>105</v>
      </c>
      <c r="B111" s="10" t="s">
        <v>115</v>
      </c>
      <c r="C111" s="8">
        <v>0</v>
      </c>
      <c r="D111" s="9"/>
      <c r="E111" s="10" t="s">
        <v>238</v>
      </c>
      <c r="F111" s="11" t="s">
        <v>273</v>
      </c>
      <c r="G111" s="9" t="s">
        <v>370</v>
      </c>
      <c r="H111" s="21" t="s">
        <v>420</v>
      </c>
      <c r="I111" s="4"/>
      <c r="J111" s="4"/>
      <c r="K111" s="4"/>
      <c r="L111" s="4"/>
      <c r="M111" s="4"/>
    </row>
    <row r="112" spans="1:13" s="2" customFormat="1">
      <c r="A112" s="15">
        <f>ROW(A112)-ROW($A$6)</f>
        <v>106</v>
      </c>
      <c r="B112" s="13" t="s">
        <v>116</v>
      </c>
      <c r="C112" s="15">
        <v>0</v>
      </c>
      <c r="D112" s="12"/>
      <c r="E112" s="13" t="s">
        <v>239</v>
      </c>
      <c r="F112" s="14" t="s">
        <v>278</v>
      </c>
      <c r="G112" s="12" t="s">
        <v>371</v>
      </c>
      <c r="H112" s="22" t="s">
        <v>421</v>
      </c>
      <c r="I112" s="4"/>
      <c r="J112" s="4"/>
      <c r="K112" s="4"/>
      <c r="L112" s="4"/>
      <c r="M112" s="4"/>
    </row>
    <row r="113" spans="1:13" s="2" customFormat="1">
      <c r="A113" s="8">
        <f>ROW(A113)-ROW($A$6)</f>
        <v>107</v>
      </c>
      <c r="B113" s="10" t="s">
        <v>117</v>
      </c>
      <c r="C113" s="8">
        <v>0</v>
      </c>
      <c r="D113" s="9"/>
      <c r="E113" s="10" t="s">
        <v>240</v>
      </c>
      <c r="F113" s="11" t="s">
        <v>273</v>
      </c>
      <c r="G113" s="9" t="s">
        <v>372</v>
      </c>
      <c r="H113" s="21" t="s">
        <v>408</v>
      </c>
      <c r="I113" s="4"/>
      <c r="J113" s="4"/>
      <c r="K113" s="4"/>
      <c r="L113" s="4"/>
      <c r="M113" s="4"/>
    </row>
    <row r="114" spans="1:13" s="2" customFormat="1" ht="26.4">
      <c r="A114" s="15">
        <f>ROW(A114)-ROW($A$6)</f>
        <v>108</v>
      </c>
      <c r="B114" s="13" t="s">
        <v>118</v>
      </c>
      <c r="C114" s="15">
        <v>0</v>
      </c>
      <c r="D114" s="12"/>
      <c r="E114" s="13" t="s">
        <v>241</v>
      </c>
      <c r="F114" s="14" t="s">
        <v>273</v>
      </c>
      <c r="G114" s="12" t="s">
        <v>373</v>
      </c>
      <c r="H114" s="22" t="s">
        <v>422</v>
      </c>
      <c r="I114" s="4"/>
      <c r="J114" s="4"/>
      <c r="K114" s="4"/>
      <c r="L114" s="4"/>
      <c r="M114" s="4"/>
    </row>
    <row r="115" spans="1:13" s="2" customFormat="1" ht="26.4">
      <c r="A115" s="8">
        <f>ROW(A115)-ROW($A$6)</f>
        <v>109</v>
      </c>
      <c r="B115" s="10" t="s">
        <v>119</v>
      </c>
      <c r="C115" s="8">
        <v>0</v>
      </c>
      <c r="D115" s="9"/>
      <c r="E115" s="10" t="s">
        <v>242</v>
      </c>
      <c r="F115" s="11" t="s">
        <v>273</v>
      </c>
      <c r="G115" s="9" t="s">
        <v>374</v>
      </c>
      <c r="H115" s="21" t="s">
        <v>423</v>
      </c>
      <c r="I115" s="4"/>
      <c r="J115" s="4"/>
      <c r="K115" s="4"/>
      <c r="L115" s="4"/>
      <c r="M115" s="4"/>
    </row>
    <row r="116" spans="1:13" s="2" customFormat="1" ht="26.4">
      <c r="A116" s="15">
        <f>ROW(A116)-ROW($A$6)</f>
        <v>110</v>
      </c>
      <c r="B116" s="13" t="s">
        <v>120</v>
      </c>
      <c r="C116" s="15">
        <v>0</v>
      </c>
      <c r="D116" s="12"/>
      <c r="E116" s="13" t="s">
        <v>217</v>
      </c>
      <c r="F116" s="14" t="s">
        <v>273</v>
      </c>
      <c r="G116" s="12" t="s">
        <v>349</v>
      </c>
      <c r="H116" s="22" t="s">
        <v>403</v>
      </c>
      <c r="I116" s="4"/>
      <c r="J116" s="4"/>
      <c r="K116" s="4"/>
      <c r="L116" s="4"/>
      <c r="M116" s="4"/>
    </row>
    <row r="117" spans="1:13" s="2" customFormat="1">
      <c r="A117" s="8">
        <f>ROW(A117)-ROW($A$6)</f>
        <v>111</v>
      </c>
      <c r="B117" s="10" t="s">
        <v>121</v>
      </c>
      <c r="C117" s="8">
        <v>0</v>
      </c>
      <c r="D117" s="9"/>
      <c r="E117" s="10" t="s">
        <v>243</v>
      </c>
      <c r="F117" s="11" t="s">
        <v>273</v>
      </c>
      <c r="G117" s="9" t="s">
        <v>375</v>
      </c>
      <c r="H117" s="21" t="s">
        <v>424</v>
      </c>
      <c r="I117" s="4"/>
      <c r="J117" s="4"/>
      <c r="K117" s="4"/>
      <c r="L117" s="4"/>
      <c r="M117" s="4"/>
    </row>
    <row r="118" spans="1:13" ht="16.5" customHeight="1">
      <c r="B118" s="18"/>
      <c r="C118" s="7"/>
      <c r="E118" s="6"/>
      <c r="F118" s="7"/>
    </row>
  </sheetData>
  <phoneticPr fontId="0" type="noConversion"/>
  <conditionalFormatting sqref="F7:F8">
    <cfRule type="containsText" dxfId="55" priority="56" stopIfTrue="1" operator="containsText" text=", ">
      <formula>NOT(ISERROR(SEARCH(", ",F7)))</formula>
    </cfRule>
  </conditionalFormatting>
  <conditionalFormatting sqref="F9:F10">
    <cfRule type="containsText" dxfId="54" priority="55" stopIfTrue="1" operator="containsText" text=", ">
      <formula>NOT(ISERROR(SEARCH(", ",F9)))</formula>
    </cfRule>
  </conditionalFormatting>
  <conditionalFormatting sqref="F11:F12">
    <cfRule type="containsText" dxfId="53" priority="54" stopIfTrue="1" operator="containsText" text=", ">
      <formula>NOT(ISERROR(SEARCH(", ",F11)))</formula>
    </cfRule>
  </conditionalFormatting>
  <conditionalFormatting sqref="F13:F14">
    <cfRule type="containsText" dxfId="52" priority="53" stopIfTrue="1" operator="containsText" text=", ">
      <formula>NOT(ISERROR(SEARCH(", ",F13)))</formula>
    </cfRule>
  </conditionalFormatting>
  <conditionalFormatting sqref="F15:F16">
    <cfRule type="containsText" dxfId="51" priority="52" stopIfTrue="1" operator="containsText" text=", ">
      <formula>NOT(ISERROR(SEARCH(", ",F15)))</formula>
    </cfRule>
  </conditionalFormatting>
  <conditionalFormatting sqref="F17:F18">
    <cfRule type="containsText" dxfId="50" priority="51" stopIfTrue="1" operator="containsText" text=", ">
      <formula>NOT(ISERROR(SEARCH(", ",F17)))</formula>
    </cfRule>
  </conditionalFormatting>
  <conditionalFormatting sqref="F19:F20">
    <cfRule type="containsText" dxfId="49" priority="50" stopIfTrue="1" operator="containsText" text=", ">
      <formula>NOT(ISERROR(SEARCH(", ",F19)))</formula>
    </cfRule>
  </conditionalFormatting>
  <conditionalFormatting sqref="F21:F22">
    <cfRule type="containsText" dxfId="48" priority="49" stopIfTrue="1" operator="containsText" text=", ">
      <formula>NOT(ISERROR(SEARCH(", ",F21)))</formula>
    </cfRule>
  </conditionalFormatting>
  <conditionalFormatting sqref="F23:F24">
    <cfRule type="containsText" dxfId="47" priority="48" stopIfTrue="1" operator="containsText" text=", ">
      <formula>NOT(ISERROR(SEARCH(", ",F23)))</formula>
    </cfRule>
  </conditionalFormatting>
  <conditionalFormatting sqref="F25:F26">
    <cfRule type="containsText" dxfId="46" priority="47" stopIfTrue="1" operator="containsText" text=", ">
      <formula>NOT(ISERROR(SEARCH(", ",F25)))</formula>
    </cfRule>
  </conditionalFormatting>
  <conditionalFormatting sqref="F27:F28">
    <cfRule type="containsText" dxfId="45" priority="46" stopIfTrue="1" operator="containsText" text=", ">
      <formula>NOT(ISERROR(SEARCH(", ",F27)))</formula>
    </cfRule>
  </conditionalFormatting>
  <conditionalFormatting sqref="F29:F30">
    <cfRule type="containsText" dxfId="44" priority="45" stopIfTrue="1" operator="containsText" text=", ">
      <formula>NOT(ISERROR(SEARCH(", ",F29)))</formula>
    </cfRule>
  </conditionalFormatting>
  <conditionalFormatting sqref="F31:F32">
    <cfRule type="containsText" dxfId="43" priority="44" stopIfTrue="1" operator="containsText" text=", ">
      <formula>NOT(ISERROR(SEARCH(", ",F31)))</formula>
    </cfRule>
  </conditionalFormatting>
  <conditionalFormatting sqref="F33:F34">
    <cfRule type="containsText" dxfId="42" priority="43" stopIfTrue="1" operator="containsText" text=", ">
      <formula>NOT(ISERROR(SEARCH(", ",F33)))</formula>
    </cfRule>
  </conditionalFormatting>
  <conditionalFormatting sqref="F35:F36">
    <cfRule type="containsText" dxfId="41" priority="42" stopIfTrue="1" operator="containsText" text=", ">
      <formula>NOT(ISERROR(SEARCH(", ",F35)))</formula>
    </cfRule>
  </conditionalFormatting>
  <conditionalFormatting sqref="F37:F38">
    <cfRule type="containsText" dxfId="40" priority="41" stopIfTrue="1" operator="containsText" text=", ">
      <formula>NOT(ISERROR(SEARCH(", ",F37)))</formula>
    </cfRule>
  </conditionalFormatting>
  <conditionalFormatting sqref="F39:F40">
    <cfRule type="containsText" dxfId="39" priority="40" stopIfTrue="1" operator="containsText" text=", ">
      <formula>NOT(ISERROR(SEARCH(", ",F39)))</formula>
    </cfRule>
  </conditionalFormatting>
  <conditionalFormatting sqref="F41:F42">
    <cfRule type="containsText" dxfId="38" priority="39" stopIfTrue="1" operator="containsText" text=", ">
      <formula>NOT(ISERROR(SEARCH(", ",F41)))</formula>
    </cfRule>
  </conditionalFormatting>
  <conditionalFormatting sqref="F43:F44">
    <cfRule type="containsText" dxfId="37" priority="38" stopIfTrue="1" operator="containsText" text=", ">
      <formula>NOT(ISERROR(SEARCH(", ",F43)))</formula>
    </cfRule>
  </conditionalFormatting>
  <conditionalFormatting sqref="F45:F46">
    <cfRule type="containsText" dxfId="36" priority="37" stopIfTrue="1" operator="containsText" text=", ">
      <formula>NOT(ISERROR(SEARCH(", ",F45)))</formula>
    </cfRule>
  </conditionalFormatting>
  <conditionalFormatting sqref="F47:F48">
    <cfRule type="containsText" dxfId="35" priority="36" stopIfTrue="1" operator="containsText" text=", ">
      <formula>NOT(ISERROR(SEARCH(", ",F47)))</formula>
    </cfRule>
  </conditionalFormatting>
  <conditionalFormatting sqref="F49:F50">
    <cfRule type="containsText" dxfId="34" priority="35" stopIfTrue="1" operator="containsText" text=", ">
      <formula>NOT(ISERROR(SEARCH(", ",F49)))</formula>
    </cfRule>
  </conditionalFormatting>
  <conditionalFormatting sqref="F51:F52">
    <cfRule type="containsText" dxfId="33" priority="34" stopIfTrue="1" operator="containsText" text=", ">
      <formula>NOT(ISERROR(SEARCH(", ",F51)))</formula>
    </cfRule>
  </conditionalFormatting>
  <conditionalFormatting sqref="F53:F54">
    <cfRule type="containsText" dxfId="32" priority="33" stopIfTrue="1" operator="containsText" text=", ">
      <formula>NOT(ISERROR(SEARCH(", ",F53)))</formula>
    </cfRule>
  </conditionalFormatting>
  <conditionalFormatting sqref="F55:F56">
    <cfRule type="containsText" dxfId="31" priority="32" stopIfTrue="1" operator="containsText" text=", ">
      <formula>NOT(ISERROR(SEARCH(", ",F55)))</formula>
    </cfRule>
  </conditionalFormatting>
  <conditionalFormatting sqref="F57:F58">
    <cfRule type="containsText" dxfId="30" priority="31" stopIfTrue="1" operator="containsText" text=", ">
      <formula>NOT(ISERROR(SEARCH(", ",F57)))</formula>
    </cfRule>
  </conditionalFormatting>
  <conditionalFormatting sqref="F59:F60">
    <cfRule type="containsText" dxfId="29" priority="30" stopIfTrue="1" operator="containsText" text=", ">
      <formula>NOT(ISERROR(SEARCH(", ",F59)))</formula>
    </cfRule>
  </conditionalFormatting>
  <conditionalFormatting sqref="F61:F62">
    <cfRule type="containsText" dxfId="28" priority="29" stopIfTrue="1" operator="containsText" text=", ">
      <formula>NOT(ISERROR(SEARCH(", ",F61)))</formula>
    </cfRule>
  </conditionalFormatting>
  <conditionalFormatting sqref="F63:F64">
    <cfRule type="containsText" dxfId="27" priority="28" stopIfTrue="1" operator="containsText" text=", ">
      <formula>NOT(ISERROR(SEARCH(", ",F63)))</formula>
    </cfRule>
  </conditionalFormatting>
  <conditionalFormatting sqref="F65:F66">
    <cfRule type="containsText" dxfId="26" priority="27" stopIfTrue="1" operator="containsText" text=", ">
      <formula>NOT(ISERROR(SEARCH(", ",F65)))</formula>
    </cfRule>
  </conditionalFormatting>
  <conditionalFormatting sqref="F67:F68">
    <cfRule type="containsText" dxfId="25" priority="26" stopIfTrue="1" operator="containsText" text=", ">
      <formula>NOT(ISERROR(SEARCH(", ",F67)))</formula>
    </cfRule>
  </conditionalFormatting>
  <conditionalFormatting sqref="F69:F70">
    <cfRule type="containsText" dxfId="24" priority="25" stopIfTrue="1" operator="containsText" text=", ">
      <formula>NOT(ISERROR(SEARCH(", ",F69)))</formula>
    </cfRule>
  </conditionalFormatting>
  <conditionalFormatting sqref="F71:F72">
    <cfRule type="containsText" dxfId="23" priority="24" stopIfTrue="1" operator="containsText" text=", ">
      <formula>NOT(ISERROR(SEARCH(", ",F71)))</formula>
    </cfRule>
  </conditionalFormatting>
  <conditionalFormatting sqref="F73:F74">
    <cfRule type="containsText" dxfId="22" priority="23" stopIfTrue="1" operator="containsText" text=", ">
      <formula>NOT(ISERROR(SEARCH(", ",F73)))</formula>
    </cfRule>
  </conditionalFormatting>
  <conditionalFormatting sqref="F75:F76">
    <cfRule type="containsText" dxfId="21" priority="22" stopIfTrue="1" operator="containsText" text=", ">
      <formula>NOT(ISERROR(SEARCH(", ",F75)))</formula>
    </cfRule>
  </conditionalFormatting>
  <conditionalFormatting sqref="F77:F78">
    <cfRule type="containsText" dxfId="20" priority="21" stopIfTrue="1" operator="containsText" text=", ">
      <formula>NOT(ISERROR(SEARCH(", ",F77)))</formula>
    </cfRule>
  </conditionalFormatting>
  <conditionalFormatting sqref="F79:F80">
    <cfRule type="containsText" dxfId="19" priority="20" stopIfTrue="1" operator="containsText" text=", ">
      <formula>NOT(ISERROR(SEARCH(", ",F79)))</formula>
    </cfRule>
  </conditionalFormatting>
  <conditionalFormatting sqref="F81:F82">
    <cfRule type="containsText" dxfId="18" priority="19" stopIfTrue="1" operator="containsText" text=", ">
      <formula>NOT(ISERROR(SEARCH(", ",F81)))</formula>
    </cfRule>
  </conditionalFormatting>
  <conditionalFormatting sqref="F83:F84">
    <cfRule type="containsText" dxfId="17" priority="18" stopIfTrue="1" operator="containsText" text=", ">
      <formula>NOT(ISERROR(SEARCH(", ",F83)))</formula>
    </cfRule>
  </conditionalFormatting>
  <conditionalFormatting sqref="F85:F86">
    <cfRule type="containsText" dxfId="16" priority="17" stopIfTrue="1" operator="containsText" text=", ">
      <formula>NOT(ISERROR(SEARCH(", ",F85)))</formula>
    </cfRule>
  </conditionalFormatting>
  <conditionalFormatting sqref="F87:F88">
    <cfRule type="containsText" dxfId="15" priority="16" stopIfTrue="1" operator="containsText" text=", ">
      <formula>NOT(ISERROR(SEARCH(", ",F87)))</formula>
    </cfRule>
  </conditionalFormatting>
  <conditionalFormatting sqref="F89:F90">
    <cfRule type="containsText" dxfId="14" priority="15" stopIfTrue="1" operator="containsText" text=", ">
      <formula>NOT(ISERROR(SEARCH(", ",F89)))</formula>
    </cfRule>
  </conditionalFormatting>
  <conditionalFormatting sqref="F91:F92">
    <cfRule type="containsText" dxfId="13" priority="14" stopIfTrue="1" operator="containsText" text=", ">
      <formula>NOT(ISERROR(SEARCH(", ",F91)))</formula>
    </cfRule>
  </conditionalFormatting>
  <conditionalFormatting sqref="F93:F94">
    <cfRule type="containsText" dxfId="12" priority="13" stopIfTrue="1" operator="containsText" text=", ">
      <formula>NOT(ISERROR(SEARCH(", ",F93)))</formula>
    </cfRule>
  </conditionalFormatting>
  <conditionalFormatting sqref="F95:F96">
    <cfRule type="containsText" dxfId="11" priority="12" stopIfTrue="1" operator="containsText" text=", ">
      <formula>NOT(ISERROR(SEARCH(", ",F95)))</formula>
    </cfRule>
  </conditionalFormatting>
  <conditionalFormatting sqref="F97:F98">
    <cfRule type="containsText" dxfId="10" priority="11" stopIfTrue="1" operator="containsText" text=", ">
      <formula>NOT(ISERROR(SEARCH(", ",F97)))</formula>
    </cfRule>
  </conditionalFormatting>
  <conditionalFormatting sqref="F99:F100">
    <cfRule type="containsText" dxfId="9" priority="10" stopIfTrue="1" operator="containsText" text=", ">
      <formula>NOT(ISERROR(SEARCH(", ",F99)))</formula>
    </cfRule>
  </conditionalFormatting>
  <conditionalFormatting sqref="F101:F102">
    <cfRule type="containsText" dxfId="8" priority="9" stopIfTrue="1" operator="containsText" text=", ">
      <formula>NOT(ISERROR(SEARCH(", ",F101)))</formula>
    </cfRule>
  </conditionalFormatting>
  <conditionalFormatting sqref="F103:F104">
    <cfRule type="containsText" dxfId="7" priority="8" stopIfTrue="1" operator="containsText" text=", ">
      <formula>NOT(ISERROR(SEARCH(", ",F103)))</formula>
    </cfRule>
  </conditionalFormatting>
  <conditionalFormatting sqref="F105:F106">
    <cfRule type="containsText" dxfId="6" priority="7" stopIfTrue="1" operator="containsText" text=", ">
      <formula>NOT(ISERROR(SEARCH(", ",F105)))</formula>
    </cfRule>
  </conditionalFormatting>
  <conditionalFormatting sqref="F107:F108">
    <cfRule type="containsText" dxfId="5" priority="6" stopIfTrue="1" operator="containsText" text=", ">
      <formula>NOT(ISERROR(SEARCH(", ",F107)))</formula>
    </cfRule>
  </conditionalFormatting>
  <conditionalFormatting sqref="F109:F110">
    <cfRule type="containsText" dxfId="4" priority="5" stopIfTrue="1" operator="containsText" text=", ">
      <formula>NOT(ISERROR(SEARCH(", ",F109)))</formula>
    </cfRule>
  </conditionalFormatting>
  <conditionalFormatting sqref="F111:F112">
    <cfRule type="containsText" dxfId="3" priority="4" stopIfTrue="1" operator="containsText" text=", ">
      <formula>NOT(ISERROR(SEARCH(", ",F111)))</formula>
    </cfRule>
  </conditionalFormatting>
  <conditionalFormatting sqref="F113:F114">
    <cfRule type="containsText" dxfId="2" priority="3" stopIfTrue="1" operator="containsText" text=", ">
      <formula>NOT(ISERROR(SEARCH(", ",F113)))</formula>
    </cfRule>
  </conditionalFormatting>
  <conditionalFormatting sqref="F115:F116">
    <cfRule type="containsText" dxfId="1" priority="2" stopIfTrue="1" operator="containsText" text=", ">
      <formula>NOT(ISERROR(SEARCH(", ",F115)))</formula>
    </cfRule>
  </conditionalFormatting>
  <conditionalFormatting sqref="F117">
    <cfRule type="containsText" dxfId="0" priority="1" stopIfTrue="1" operator="containsText" text=", ">
      <formula>NOT(ISERROR(SEARCH(", ",F117)))</formula>
    </cfRule>
  </conditionalFormatting>
  <printOptions horizontalCentered="1"/>
  <pageMargins left="0" right="0" top="0.25" bottom="0.25" header="0" footer="0"/>
  <pageSetup scale="83" fitToHeight="10" orientation="landscape" r:id="rId1"/>
  <headerFooter alignWithMargins="0">
    <oddFooter>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E963ECD142CD448D6D7B5449AB9689" ma:contentTypeVersion="1" ma:contentTypeDescription="Create a new document." ma:contentTypeScope="" ma:versionID="d295bf045b12d0824abb5e0e58104114">
  <xsd:schema xmlns:xsd="http://www.w3.org/2001/XMLSchema" xmlns:xs="http://www.w3.org/2001/XMLSchema" xmlns:p="http://schemas.microsoft.com/office/2006/metadata/properties" xmlns:ns2="d9f21157-7b79-4dec-b8fe-35b9a1102fa9" targetNamespace="http://schemas.microsoft.com/office/2006/metadata/properties" ma:root="true" ma:fieldsID="da4f38943e3cc4a148c9a7ac28cfcce0" ns2:_="">
    <xsd:import namespace="d9f21157-7b79-4dec-b8fe-35b9a1102fa9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f21157-7b79-4dec-b8fe-35b9a1102fa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3641958-6CCC-4F47-A9E3-617ACD5FCC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f21157-7b79-4dec-b8fe-35b9a1102fa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DFD8539-5001-484C-947E-CAC13E5D5AD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BOM Report</vt:lpstr>
      <vt:lpstr>'BOM Report'!Print_Area</vt:lpstr>
      <vt:lpstr>'BOM Report'!Print_Titles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R, Kavikannan</cp:lastModifiedBy>
  <cp:lastPrinted>2008-09-09T17:29:39Z</cp:lastPrinted>
  <dcterms:created xsi:type="dcterms:W3CDTF">2000-10-27T00:30:29Z</dcterms:created>
  <dcterms:modified xsi:type="dcterms:W3CDTF">2024-02-14T06:37:59Z</dcterms:modified>
</cp:coreProperties>
</file>